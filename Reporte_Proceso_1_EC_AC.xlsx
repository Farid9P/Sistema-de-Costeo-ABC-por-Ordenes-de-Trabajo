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D_AC" sheetId="2" state="visible" r:id="rId2"/>
    <sheet xmlns:r="http://schemas.openxmlformats.org/officeDocument/2006/relationships" name="Otros_Recursos_AC" sheetId="3" state="visible" r:id="rId3"/>
    <sheet xmlns:r="http://schemas.openxmlformats.org/officeDocument/2006/relationships" name="Soporte_AC" sheetId="4" state="visible" r:id="rId4"/>
    <sheet xmlns:r="http://schemas.openxmlformats.org/officeDocument/2006/relationships" name="Total_Actividad" sheetId="5" state="visible" r:id="rId5"/>
    <sheet xmlns:r="http://schemas.openxmlformats.org/officeDocument/2006/relationships" name="Detalle_EC_AC" sheetId="6" state="visible" r:id="rId6"/>
    <sheet xmlns:r="http://schemas.openxmlformats.org/officeDocument/2006/relationships" name="Formulas" sheetId="7" state="visible" r:id="rId7"/>
  </sheets>
  <definedNames>
    <definedName name="_xlnm._FilterDatabase" localSheetId="1" hidden="1">'PD_AC'!$A$1:$O$9</definedName>
    <definedName name="_xlnm._FilterDatabase" localSheetId="2" hidden="1">'Otros_Recursos_AC'!$A$1:$H$9</definedName>
    <definedName name="_xlnm._FilterDatabase" localSheetId="3" hidden="1">'Soporte_AC'!$A$1:$K$9</definedName>
    <definedName name="_xlnm._FilterDatabase" localSheetId="4" hidden="1">'Total_Actividad'!$A$1:$L$9</definedName>
    <definedName name="_xlnm._FilterDatabase" localSheetId="5" hidden="1">'Detalle_EC_AC'!$A$1:$M$37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Costo total por actividad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'Total_Actividad'!I2</f>
            </strRef>
          </tx>
          <spPr>
            <a:ln xmlns:a="http://schemas.openxmlformats.org/drawingml/2006/main">
              <a:prstDash val="solid"/>
            </a:ln>
          </spPr>
          <cat>
            <numRef>
              <f>'Total_Actividad'!$D$3:$D$9</f>
            </numRef>
          </cat>
          <val>
            <numRef>
              <f>'Total_Actividad'!$I$3:$I$9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nombre_actividad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Participacion del costo por actividad</a:t>
            </a:r>
          </a:p>
        </rich>
      </tx>
    </title>
    <plotArea>
      <pieChart>
        <varyColors val="1"/>
        <ser>
          <idx val="0"/>
          <order val="0"/>
          <tx>
            <strRef>
              <f>'Total_Actividad'!I2</f>
            </strRef>
          </tx>
          <spPr>
            <a:ln xmlns:a="http://schemas.openxmlformats.org/drawingml/2006/main">
              <a:prstDash val="solid"/>
            </a:ln>
          </spPr>
          <cat>
            <numRef>
              <f>'Total_Actividad'!$D$3:$D$9</f>
            </numRef>
          </cat>
          <val>
            <numRef>
              <f>'Total_Actividad'!$I$3:$I$9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13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45" customWidth="1" min="3" max="3"/>
    <col width="33" customWidth="1" min="4" max="4"/>
  </cols>
  <sheetData>
    <row r="1">
      <c r="A1" s="1" t="inlineStr">
        <is>
          <t>Resumen ejecutivo - Proceso 1 EC -&gt; AC</t>
        </is>
      </c>
      <c r="B1" s="2" t="n"/>
      <c r="C1" s="2" t="n"/>
      <c r="D1" s="2" t="n"/>
    </row>
    <row r="2">
      <c r="A2" s="3" t="inlineStr">
        <is>
          <t>Indicador</t>
        </is>
      </c>
      <c r="B2" s="3" t="inlineStr">
        <is>
          <t>Valor</t>
        </is>
      </c>
      <c r="C2" s="3" t="inlineStr">
        <is>
          <t>Interpretacion</t>
        </is>
      </c>
      <c r="D2" s="3" t="inlineStr">
        <is>
          <t>Fuente</t>
        </is>
      </c>
    </row>
    <row r="3">
      <c r="A3" s="2" t="inlineStr">
        <is>
          <t>Costo total actividades</t>
        </is>
      </c>
      <c r="B3" s="2" t="n">
        <v>196282.82</v>
      </c>
      <c r="C3" s="2" t="inlineStr">
        <is>
          <t>Valor acumulado de la ejecucion del modelo ABC.</t>
        </is>
      </c>
      <c r="D3" s="2" t="inlineStr">
        <is>
          <t>Calculos generados desde SQLite</t>
        </is>
      </c>
    </row>
    <row r="4">
      <c r="A4" s="2" t="inlineStr">
        <is>
          <t>Actividad de mayor costo</t>
        </is>
      </c>
      <c r="B4" s="2" t="inlineStr">
        <is>
          <t>Impregnación - 44,275.30</t>
        </is>
      </c>
      <c r="C4" s="2" t="inlineStr">
        <is>
          <t>Elemento prioritario para revision de eficiencia y uso de inductores.</t>
        </is>
      </c>
      <c r="D4" s="2" t="inlineStr">
        <is>
          <t>Calculos generados desde SQLite</t>
        </is>
      </c>
    </row>
    <row r="5">
      <c r="A5" s="2" t="inlineStr">
        <is>
          <t>Costo total PD</t>
        </is>
      </c>
      <c r="B5" s="2" t="n">
        <v>78855</v>
      </c>
      <c r="C5" s="2" t="inlineStr">
        <is>
          <t>Valor acumulado de la ejecucion del modelo ABC.</t>
        </is>
      </c>
      <c r="D5" s="2" t="inlineStr">
        <is>
          <t>Calculos generados desde SQLite</t>
        </is>
      </c>
    </row>
    <row r="6">
      <c r="A6" s="2" t="inlineStr">
        <is>
          <t>Costo total soporte</t>
        </is>
      </c>
      <c r="B6" s="2" t="n">
        <v>25102</v>
      </c>
      <c r="C6" s="2" t="inlineStr">
        <is>
          <t>Valor acumulado de la ejecucion del modelo ABC.</t>
        </is>
      </c>
      <c r="D6" s="2" t="inlineStr">
        <is>
          <t>Calculos generados desde SQLite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21" customWidth="1" min="8" max="8"/>
    <col width="22" customWidth="1" min="9" max="9"/>
    <col width="18" customWidth="1" min="10" max="10"/>
    <col width="17" customWidth="1" min="11" max="11"/>
    <col width="13" customWidth="1" min="12" max="12"/>
    <col width="45" customWidth="1" min="13" max="13"/>
    <col width="45" customWidth="1" min="14" max="14"/>
    <col width="45" customWidth="1" min="15" max="15"/>
  </cols>
  <sheetData>
    <row r="1">
      <c r="A1" s="1" t="inlineStr">
        <is>
          <t>Proceso 1: EC -&gt; AC - PD_AC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run_id</t>
        </is>
      </c>
      <c r="B2" s="3" t="inlineStr">
        <is>
          <t>actividad_id</t>
        </is>
      </c>
      <c r="C2" s="3" t="inlineStr">
        <is>
          <t>codigo_actividad</t>
        </is>
      </c>
      <c r="D2" s="3" t="inlineStr">
        <is>
          <t>nombre_actividad</t>
        </is>
      </c>
      <c r="E2" s="3" t="inlineStr">
        <is>
          <t>ts_total</t>
        </is>
      </c>
      <c r="F2" s="3" t="inlineStr">
        <is>
          <t>te</t>
        </is>
      </c>
      <c r="G2" s="3" t="inlineStr">
        <is>
          <t>fd</t>
        </is>
      </c>
      <c r="H2" s="3" t="inlineStr">
        <is>
          <t>tiempo_real_minutos</t>
        </is>
      </c>
      <c r="I2" s="3" t="inlineStr">
        <is>
          <t>porcentaje_calculado</t>
        </is>
      </c>
      <c r="J2" s="3" t="inlineStr">
        <is>
          <t>porcentaje_usado</t>
        </is>
      </c>
      <c r="K2" s="3" t="inlineStr">
        <is>
          <t>total_mod_soles</t>
        </is>
      </c>
      <c r="L2" s="3" t="inlineStr">
        <is>
          <t>costo_pd_ac</t>
        </is>
      </c>
      <c r="M2" s="3" t="inlineStr">
        <is>
          <t>formula</t>
        </is>
      </c>
      <c r="N2" s="3" t="inlineStr">
        <is>
          <t>fuente</t>
        </is>
      </c>
      <c r="O2" s="3" t="inlineStr">
        <is>
          <t>observacion</t>
        </is>
      </c>
    </row>
    <row r="3">
      <c r="A3" s="2" t="n">
        <v>4</v>
      </c>
      <c r="B3" s="2" t="inlineStr">
        <is>
          <t>AC001</t>
        </is>
      </c>
      <c r="C3" s="2" t="inlineStr">
        <is>
          <t>FO-1</t>
        </is>
      </c>
      <c r="D3" s="2" t="inlineStr">
        <is>
          <t>Impregnación</t>
        </is>
      </c>
      <c r="E3" s="4" t="n">
        <v>0.13</v>
      </c>
      <c r="F3" s="2" t="n">
        <v>1.13</v>
      </c>
      <c r="G3" s="2" t="n">
        <v>0.95</v>
      </c>
      <c r="H3" s="2" t="n">
        <v>105224</v>
      </c>
      <c r="I3" s="5" t="n">
        <v>0.2604159994852288</v>
      </c>
      <c r="J3" s="5" t="n">
        <v>0.26</v>
      </c>
      <c r="K3" s="4" t="n">
        <v>79650</v>
      </c>
      <c r="L3" s="4" t="n">
        <v>20709</v>
      </c>
      <c r="M3" s="2" t="inlineStr">
        <is>
          <t>Ts_total = SUM(tolerancias); Te = ROUND(tiempo_normal_min_kg * (1 + Ts_total), redondear_te_decimales); Fd = horas_reales / horas_estandar; tiempo_real_AC = Te * kg_producidos_periodo * Fd; porcentaje_AC = tiempo_real_AC / tiempo_real_total_minutos_periodo; total_PD = cantidad_operarios * salario_mensual; costo_PD_AC = porcentaje_AC * total_PD</t>
        </is>
      </c>
      <c r="N3" s="2" t="inlineStr">
        <is>
          <t>Cherres Juárez (2010), Un caso de aplicación del sistema ABC en una empresa peruana: Frenosa, Contabilidad y Negocios, PUCP</t>
        </is>
      </c>
      <c r="O3" s="2" t="inlineStr">
        <is>
          <t>Entrada para que el sistema calcule: Ts total, Te, horas estándar totales, Fd, tiempo real, porcentaje y costo MOD por actividad. No contiene costo calculado.</t>
        </is>
      </c>
    </row>
    <row r="4">
      <c r="A4" s="2" t="n">
        <v>4</v>
      </c>
      <c r="B4" s="2" t="inlineStr">
        <is>
          <t>AC002</t>
        </is>
      </c>
      <c r="C4" s="2" t="inlineStr">
        <is>
          <t>FO-2</t>
        </is>
      </c>
      <c r="D4" s="2" t="inlineStr">
        <is>
          <t>Enrollado</t>
        </is>
      </c>
      <c r="E4" s="4" t="n">
        <v>0.13</v>
      </c>
      <c r="F4" s="2" t="n">
        <v>0.35</v>
      </c>
      <c r="G4" s="2" t="n">
        <v>0.95</v>
      </c>
      <c r="H4" s="2" t="n">
        <v>32592</v>
      </c>
      <c r="I4" s="5" t="n">
        <v>0.08065982284940715</v>
      </c>
      <c r="J4" s="5" t="n">
        <v>0.08</v>
      </c>
      <c r="K4" s="4" t="n">
        <v>79650</v>
      </c>
      <c r="L4" s="4" t="n">
        <v>6372</v>
      </c>
      <c r="M4" s="2" t="inlineStr">
        <is>
          <t>Ts_total = SUM(tolerancias); Te = ROUND(tiempo_normal_min_kg * (1 + Ts_total), redondear_te_decimales); Fd = horas_reales / horas_estandar; tiempo_real_AC = Te * kg_producidos_periodo * Fd; porcentaje_AC = tiempo_real_AC / tiempo_real_total_minutos_periodo; total_PD = cantidad_operarios * salario_mensual; costo_PD_AC = porcentaje_AC * total_PD</t>
        </is>
      </c>
      <c r="N4" s="2" t="inlineStr">
        <is>
          <t>Cherres Juárez (2010), Un caso de aplicación del sistema ABC en una empresa peruana: Frenosa, Contabilidad y Negocios, PUCP</t>
        </is>
      </c>
      <c r="O4" s="2" t="inlineStr">
        <is>
          <t>Entrada para que el sistema calcule: Ts total, Te, horas estándar totales, Fd, tiempo real, porcentaje y costo MOD por actividad. No contiene costo calculado.</t>
        </is>
      </c>
    </row>
    <row r="5">
      <c r="A5" s="2" t="n">
        <v>4</v>
      </c>
      <c r="B5" s="2" t="inlineStr">
        <is>
          <t>AC003</t>
        </is>
      </c>
      <c r="C5" s="2" t="inlineStr">
        <is>
          <t>FO-3</t>
        </is>
      </c>
      <c r="D5" s="2" t="inlineStr">
        <is>
          <t>Prensado</t>
        </is>
      </c>
      <c r="E5" s="4" t="n">
        <v>0.13</v>
      </c>
      <c r="F5" s="2" t="n">
        <v>0.73</v>
      </c>
      <c r="G5" s="2" t="n">
        <v>0.95</v>
      </c>
      <c r="H5" s="2" t="n">
        <v>67977</v>
      </c>
      <c r="I5" s="5" t="n">
        <v>0.168233344800192</v>
      </c>
      <c r="J5" s="5" t="n">
        <v>0.17</v>
      </c>
      <c r="K5" s="4" t="n">
        <v>79650</v>
      </c>
      <c r="L5" s="4" t="n">
        <v>13541</v>
      </c>
      <c r="M5" s="2" t="inlineStr">
        <is>
          <t>Ts_total = SUM(tolerancias); Te = ROUND(tiempo_normal_min_kg * (1 + Ts_total), redondear_te_decimales); Fd = horas_reales / horas_estandar; tiempo_real_AC = Te * kg_producidos_periodo * Fd; porcentaje_AC = tiempo_real_AC / tiempo_real_total_minutos_periodo; total_PD = cantidad_operarios * salario_mensual; costo_PD_AC = porcentaje_AC * total_PD</t>
        </is>
      </c>
      <c r="N5" s="2" t="inlineStr">
        <is>
          <t>Cherres Juárez (2010), Un caso de aplicación del sistema ABC en una empresa peruana: Frenosa, Contabilidad y Negocios, PUCP</t>
        </is>
      </c>
      <c r="O5" s="2" t="inlineStr">
        <is>
          <t>Entrada para que el sistema calcule: Ts total, Te, horas estándar totales, Fd, tiempo real, porcentaje y costo MOD por actividad. No contiene costo calculado.</t>
        </is>
      </c>
    </row>
    <row r="6">
      <c r="A6" s="2" t="n">
        <v>4</v>
      </c>
      <c r="B6" s="2" t="inlineStr">
        <is>
          <t>AC004</t>
        </is>
      </c>
      <c r="C6" s="2" t="inlineStr">
        <is>
          <t>FO-4</t>
        </is>
      </c>
      <c r="D6" s="2" t="inlineStr">
        <is>
          <t>Horneado</t>
        </is>
      </c>
      <c r="E6" s="4" t="n">
        <v>0.13</v>
      </c>
      <c r="F6" s="2" t="n">
        <v>1.19</v>
      </c>
      <c r="G6" s="2" t="n">
        <v>0.95</v>
      </c>
      <c r="H6" s="2" t="n">
        <v>110812</v>
      </c>
      <c r="I6" s="5" t="n">
        <v>0.2742433976879843</v>
      </c>
      <c r="J6" s="5" t="n">
        <v>0.27</v>
      </c>
      <c r="K6" s="4" t="n">
        <v>79650</v>
      </c>
      <c r="L6" s="4" t="n">
        <v>21506</v>
      </c>
      <c r="M6" s="2" t="inlineStr">
        <is>
          <t>Ts_total = SUM(tolerancias); Te = ROUND(tiempo_normal_min_kg * (1 + Ts_total), redondear_te_decimales); Fd = horas_reales / horas_estandar; tiempo_real_AC = Te * kg_producidos_periodo * Fd; porcentaje_AC = tiempo_real_AC / tiempo_real_total_minutos_periodo; total_PD = cantidad_operarios * salario_mensual; costo_PD_AC = porcentaje_AC * total_PD</t>
        </is>
      </c>
      <c r="N6" s="2" t="inlineStr">
        <is>
          <t>Cherres Juárez (2010), Un caso de aplicación del sistema ABC en una empresa peruana: Frenosa, Contabilidad y Negocios, PUCP</t>
        </is>
      </c>
      <c r="O6" s="2" t="inlineStr">
        <is>
          <t>Entrada para que el sistema calcule: Ts total, Te, horas estándar totales, Fd, tiempo real, porcentaje y costo MOD por actividad. No contiene costo calculado.</t>
        </is>
      </c>
    </row>
    <row r="7">
      <c r="A7" s="2" t="n">
        <v>4</v>
      </c>
      <c r="B7" s="2" t="inlineStr">
        <is>
          <t>AC005</t>
        </is>
      </c>
      <c r="C7" s="2" t="inlineStr">
        <is>
          <t>FO-5</t>
        </is>
      </c>
      <c r="D7" s="2" t="inlineStr">
        <is>
          <t>Lijado</t>
        </is>
      </c>
      <c r="E7" s="4" t="n">
        <v>0.13</v>
      </c>
      <c r="F7" s="2" t="n">
        <v>0.19</v>
      </c>
      <c r="G7" s="2" t="n">
        <v>0.95</v>
      </c>
      <c r="H7" s="2" t="n">
        <v>17693</v>
      </c>
      <c r="I7" s="5" t="n">
        <v>0.04378676097539244</v>
      </c>
      <c r="J7" s="5" t="n">
        <v>0.04</v>
      </c>
      <c r="K7" s="4" t="n">
        <v>79650</v>
      </c>
      <c r="L7" s="4" t="n">
        <v>3186</v>
      </c>
      <c r="M7" s="2" t="inlineStr">
        <is>
          <t>Ts_total = SUM(tolerancias); Te = ROUND(tiempo_normal_min_kg * (1 + Ts_total), redondear_te_decimales); Fd = horas_reales / horas_estandar; tiempo_real_AC = Te * kg_producidos_periodo * Fd; porcentaje_AC = tiempo_real_AC / tiempo_real_total_minutos_periodo; total_PD = cantidad_operarios * salario_mensual; costo_PD_AC = porcentaje_AC * total_PD</t>
        </is>
      </c>
      <c r="N7" s="2" t="inlineStr">
        <is>
          <t>Cherres Juárez (2010), Un caso de aplicación del sistema ABC en una empresa peruana: Frenosa, Contabilidad y Negocios, PUCP</t>
        </is>
      </c>
      <c r="O7" s="2" t="inlineStr">
        <is>
          <t>Entrada para que el sistema calcule: Ts total, Te, horas estándar totales, Fd, tiempo real, porcentaje y costo MOD por actividad. No contiene costo calculado.</t>
        </is>
      </c>
    </row>
    <row r="8">
      <c r="A8" s="2" t="n">
        <v>4</v>
      </c>
      <c r="B8" s="2" t="inlineStr">
        <is>
          <t>AC006</t>
        </is>
      </c>
      <c r="C8" s="2" t="inlineStr">
        <is>
          <t>FO-6</t>
        </is>
      </c>
      <c r="D8" s="2" t="inlineStr">
        <is>
          <t>Taladrado</t>
        </is>
      </c>
      <c r="E8" s="4" t="n">
        <v>0.13</v>
      </c>
      <c r="F8" s="2" t="n">
        <v>0.44</v>
      </c>
      <c r="G8" s="2" t="n">
        <v>0.95</v>
      </c>
      <c r="H8" s="2" t="n">
        <v>40972</v>
      </c>
      <c r="I8" s="5" t="n">
        <v>0.1014009201535404</v>
      </c>
      <c r="J8" s="5" t="n">
        <v>0.1</v>
      </c>
      <c r="K8" s="4" t="n">
        <v>79650</v>
      </c>
      <c r="L8" s="4" t="n">
        <v>7965</v>
      </c>
      <c r="M8" s="2" t="inlineStr">
        <is>
          <t>Ts_total = SUM(tolerancias); Te = ROUND(tiempo_normal_min_kg * (1 + Ts_total), redondear_te_decimales); Fd = horas_reales / horas_estandar; tiempo_real_AC = Te * kg_producidos_periodo * Fd; porcentaje_AC = tiempo_real_AC / tiempo_real_total_minutos_periodo; total_PD = cantidad_operarios * salario_mensual; costo_PD_AC = porcentaje_AC * total_PD</t>
        </is>
      </c>
      <c r="N8" s="2" t="inlineStr">
        <is>
          <t>Cherres Juárez (2010), Un caso de aplicación del sistema ABC en una empresa peruana: Frenosa, Contabilidad y Negocios, PUCP</t>
        </is>
      </c>
      <c r="O8" s="2" t="inlineStr">
        <is>
          <t>Entrada para que el sistema calcule: Ts total, Te, horas estándar totales, Fd, tiempo real, porcentaje y costo MOD por actividad. No contiene costo calculado.</t>
        </is>
      </c>
    </row>
    <row r="9">
      <c r="A9" s="2" t="n">
        <v>4</v>
      </c>
      <c r="B9" s="2" t="inlineStr">
        <is>
          <t>AC007</t>
        </is>
      </c>
      <c r="C9" s="2" t="inlineStr">
        <is>
          <t>FO-7</t>
        </is>
      </c>
      <c r="D9" s="2" t="inlineStr">
        <is>
          <t>Acabado</t>
        </is>
      </c>
      <c r="E9" s="4" t="n">
        <v>0.13</v>
      </c>
      <c r="F9" s="2" t="n">
        <v>0.31</v>
      </c>
      <c r="G9" s="2" t="n">
        <v>0.95</v>
      </c>
      <c r="H9" s="2" t="n">
        <v>28867</v>
      </c>
      <c r="I9" s="5" t="n">
        <v>0.07144155738090348</v>
      </c>
      <c r="J9" s="5" t="n">
        <v>0.07000000000000001</v>
      </c>
      <c r="K9" s="4" t="n">
        <v>79650</v>
      </c>
      <c r="L9" s="4" t="n">
        <v>5576</v>
      </c>
      <c r="M9" s="2" t="inlineStr">
        <is>
          <t>Ts_total = SUM(tolerancias); Te = ROUND(tiempo_normal_min_kg * (1 + Ts_total), redondear_te_decimales); Fd = horas_reales / horas_estandar; tiempo_real_AC = Te * kg_producidos_periodo * Fd; porcentaje_AC = tiempo_real_AC / tiempo_real_total_minutos_periodo; total_PD = cantidad_operarios * salario_mensual; costo_PD_AC = porcentaje_AC * total_PD</t>
        </is>
      </c>
      <c r="N9" s="2" t="inlineStr">
        <is>
          <t>Cherres Juárez (2010), Un caso de aplicación del sistema ABC en una empresa peruana: Frenosa, Contabilidad y Negocios, PUCP</t>
        </is>
      </c>
      <c r="O9" s="2" t="inlineStr">
        <is>
          <t>Entrada para que el sistema calcule: Ts total, Te, horas estándar totales, Fd, tiempo real, porcentaje y costo MOD por actividad. No contiene costo calculado.</t>
        </is>
      </c>
    </row>
  </sheetData>
  <autoFilter ref="A1:O9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8" customWidth="1" min="3" max="3"/>
    <col width="18" customWidth="1" min="4" max="4"/>
    <col width="25" customWidth="1" min="5" max="5"/>
    <col width="45" customWidth="1" min="6" max="6"/>
    <col width="45" customWidth="1" min="7" max="7"/>
    <col width="34" customWidth="1" min="8" max="8"/>
  </cols>
  <sheetData>
    <row r="1">
      <c r="A1" s="1" t="inlineStr">
        <is>
          <t>Proceso 1: EC -&gt; AC - Otros_Recursos_AC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run_id</t>
        </is>
      </c>
      <c r="B2" s="3" t="inlineStr">
        <is>
          <t>actividad_id</t>
        </is>
      </c>
      <c r="C2" s="3" t="inlineStr">
        <is>
          <t>codigo_actividad</t>
        </is>
      </c>
      <c r="D2" s="3" t="inlineStr">
        <is>
          <t>nombre_actividad</t>
        </is>
      </c>
      <c r="E2" s="3" t="inlineStr">
        <is>
          <t>costo_otros_recursos_ac</t>
        </is>
      </c>
      <c r="F2" s="3" t="inlineStr">
        <is>
          <t>formula</t>
        </is>
      </c>
      <c r="G2" s="3" t="inlineStr">
        <is>
          <t>fuente</t>
        </is>
      </c>
      <c r="H2" s="3" t="inlineStr">
        <is>
          <t>observacion</t>
        </is>
      </c>
    </row>
    <row r="3">
      <c r="A3" s="2" t="n">
        <v>4</v>
      </c>
      <c r="B3" s="2" t="inlineStr">
        <is>
          <t>AC001</t>
        </is>
      </c>
      <c r="C3" s="2" t="inlineStr">
        <is>
          <t>FO-1</t>
        </is>
      </c>
      <c r="D3" s="2" t="inlineStr">
        <is>
          <t>Impregnación</t>
        </is>
      </c>
      <c r="E3" s="4" t="n">
        <v>19699.58</v>
      </c>
      <c r="F3" s="2" t="inlineStr">
        <is>
          <t>costo_otros_recursos_AC = SUM(costo_recurso_AC)</t>
        </is>
      </c>
      <c r="G3" s="2" t="inlineStr">
        <is>
          <t>EC_AC_Inductores + costo_otros_recursos(CI)</t>
        </is>
      </c>
      <c r="H3" s="2" t="inlineStr">
        <is>
          <t>Calculo generado por el sistema.</t>
        </is>
      </c>
    </row>
    <row r="4">
      <c r="A4" s="2" t="n">
        <v>4</v>
      </c>
      <c r="B4" s="2" t="inlineStr">
        <is>
          <t>AC002</t>
        </is>
      </c>
      <c r="C4" s="2" t="inlineStr">
        <is>
          <t>FO-2</t>
        </is>
      </c>
      <c r="D4" s="2" t="inlineStr">
        <is>
          <t>Enrollado</t>
        </is>
      </c>
      <c r="E4" s="4" t="n">
        <v>11494.72</v>
      </c>
      <c r="F4" s="2" t="inlineStr">
        <is>
          <t>costo_otros_recursos_AC = SUM(costo_recurso_AC)</t>
        </is>
      </c>
      <c r="G4" s="2" t="inlineStr">
        <is>
          <t>EC_AC_Inductores + costo_otros_recursos(CI)</t>
        </is>
      </c>
      <c r="H4" s="2" t="inlineStr">
        <is>
          <t>Calculo generado por el sistema.</t>
        </is>
      </c>
    </row>
    <row r="5">
      <c r="A5" s="2" t="n">
        <v>4</v>
      </c>
      <c r="B5" s="2" t="inlineStr">
        <is>
          <t>AC003</t>
        </is>
      </c>
      <c r="C5" s="2" t="inlineStr">
        <is>
          <t>FO-3</t>
        </is>
      </c>
      <c r="D5" s="2" t="inlineStr">
        <is>
          <t>Prensado</t>
        </is>
      </c>
      <c r="E5" s="4" t="n">
        <v>15053.06</v>
      </c>
      <c r="F5" s="2" t="inlineStr">
        <is>
          <t>costo_otros_recursos_AC = SUM(costo_recurso_AC)</t>
        </is>
      </c>
      <c r="G5" s="2" t="inlineStr">
        <is>
          <t>EC_AC_Inductores + costo_otros_recursos(CI)</t>
        </is>
      </c>
      <c r="H5" s="2" t="inlineStr">
        <is>
          <t>Calculo generado por el sistema.</t>
        </is>
      </c>
    </row>
    <row r="6">
      <c r="A6" s="2" t="n">
        <v>4</v>
      </c>
      <c r="B6" s="2" t="inlineStr">
        <is>
          <t>AC004</t>
        </is>
      </c>
      <c r="C6" s="2" t="inlineStr">
        <is>
          <t>FO-4</t>
        </is>
      </c>
      <c r="D6" s="2" t="inlineStr">
        <is>
          <t>Horneado</t>
        </is>
      </c>
      <c r="E6" s="4" t="n">
        <v>15844.38</v>
      </c>
      <c r="F6" s="2" t="inlineStr">
        <is>
          <t>costo_otros_recursos_AC = SUM(costo_recurso_AC)</t>
        </is>
      </c>
      <c r="G6" s="2" t="inlineStr">
        <is>
          <t>EC_AC_Inductores + costo_otros_recursos(CI)</t>
        </is>
      </c>
      <c r="H6" s="2" t="inlineStr">
        <is>
          <t>Calculo generado por el sistema.</t>
        </is>
      </c>
    </row>
    <row r="7">
      <c r="A7" s="2" t="n">
        <v>4</v>
      </c>
      <c r="B7" s="2" t="inlineStr">
        <is>
          <t>AC005</t>
        </is>
      </c>
      <c r="C7" s="2" t="inlineStr">
        <is>
          <t>FO-5</t>
        </is>
      </c>
      <c r="D7" s="2" t="inlineStr">
        <is>
          <t>Lijado</t>
        </is>
      </c>
      <c r="E7" s="4" t="n">
        <v>11743.7</v>
      </c>
      <c r="F7" s="2" t="inlineStr">
        <is>
          <t>costo_otros_recursos_AC = SUM(costo_recurso_AC)</t>
        </is>
      </c>
      <c r="G7" s="2" t="inlineStr">
        <is>
          <t>EC_AC_Inductores + costo_otros_recursos(CI)</t>
        </is>
      </c>
      <c r="H7" s="2" t="inlineStr">
        <is>
          <t>Calculo generado por el sistema.</t>
        </is>
      </c>
    </row>
    <row r="8">
      <c r="A8" s="2" t="n">
        <v>4</v>
      </c>
      <c r="B8" s="2" t="inlineStr">
        <is>
          <t>AC006</t>
        </is>
      </c>
      <c r="C8" s="2" t="inlineStr">
        <is>
          <t>FO-6</t>
        </is>
      </c>
      <c r="D8" s="2" t="inlineStr">
        <is>
          <t>Taladrado</t>
        </is>
      </c>
      <c r="E8" s="4" t="n">
        <v>9865.08</v>
      </c>
      <c r="F8" s="2" t="inlineStr">
        <is>
          <t>costo_otros_recursos_AC = SUM(costo_recurso_AC)</t>
        </is>
      </c>
      <c r="G8" s="2" t="inlineStr">
        <is>
          <t>EC_AC_Inductores + costo_otros_recursos(CI)</t>
        </is>
      </c>
      <c r="H8" s="2" t="inlineStr">
        <is>
          <t>Calculo generado por el sistema.</t>
        </is>
      </c>
    </row>
    <row r="9">
      <c r="A9" s="2" t="n">
        <v>4</v>
      </c>
      <c r="B9" s="2" t="inlineStr">
        <is>
          <t>AC007</t>
        </is>
      </c>
      <c r="C9" s="2" t="inlineStr">
        <is>
          <t>FO-7</t>
        </is>
      </c>
      <c r="D9" s="2" t="inlineStr">
        <is>
          <t>Acabado</t>
        </is>
      </c>
      <c r="E9" s="4" t="n">
        <v>8625.299999999999</v>
      </c>
      <c r="F9" s="2" t="inlineStr">
        <is>
          <t>costo_otros_recursos_AC = SUM(costo_recurso_AC)</t>
        </is>
      </c>
      <c r="G9" s="2" t="inlineStr">
        <is>
          <t>EC_AC_Inductores + costo_otros_recursos(CI)</t>
        </is>
      </c>
      <c r="H9" s="2" t="inlineStr">
        <is>
          <t>Calculo generado por el sistema.</t>
        </is>
      </c>
    </row>
  </sheetData>
  <autoFilter ref="A1:H9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24" customWidth="1" min="5" max="5"/>
    <col width="26" customWidth="1" min="6" max="6"/>
    <col width="21" customWidth="1" min="7" max="7"/>
    <col width="20" customWidth="1" min="8" max="8"/>
    <col width="45" customWidth="1" min="9" max="9"/>
    <col width="45" customWidth="1" min="10" max="10"/>
    <col width="34" customWidth="1" min="11" max="11"/>
  </cols>
  <sheetData>
    <row r="1">
      <c r="A1" s="1" t="inlineStr">
        <is>
          <t>Proceso 1: EC -&gt; AC - Soporte_AC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run_id</t>
        </is>
      </c>
      <c r="B2" s="3" t="inlineStr">
        <is>
          <t>actividad_id</t>
        </is>
      </c>
      <c r="C2" s="3" t="inlineStr">
        <is>
          <t>codigo_actividad</t>
        </is>
      </c>
      <c r="D2" s="3" t="inlineStr">
        <is>
          <t>nombre_actividad</t>
        </is>
      </c>
      <c r="E2" s="3" t="inlineStr">
        <is>
          <t>costo_mantenimiento_ac</t>
        </is>
      </c>
      <c r="F2" s="3" t="inlineStr">
        <is>
          <t>costo_control_calidad_ac</t>
        </is>
      </c>
      <c r="G2" s="3" t="inlineStr">
        <is>
          <t>costo_ingenieria_ac</t>
        </is>
      </c>
      <c r="H2" s="3" t="inlineStr">
        <is>
          <t>costo_soporte_ac</t>
        </is>
      </c>
      <c r="I2" s="3" t="inlineStr">
        <is>
          <t>formula</t>
        </is>
      </c>
      <c r="J2" s="3" t="inlineStr">
        <is>
          <t>fuente</t>
        </is>
      </c>
      <c r="K2" s="3" t="inlineStr">
        <is>
          <t>observacion</t>
        </is>
      </c>
    </row>
    <row r="3">
      <c r="A3" s="2" t="n">
        <v>4</v>
      </c>
      <c r="B3" s="2" t="inlineStr">
        <is>
          <t>AC001</t>
        </is>
      </c>
      <c r="C3" s="2" t="inlineStr">
        <is>
          <t>FO-1</t>
        </is>
      </c>
      <c r="D3" s="2" t="inlineStr">
        <is>
          <t>Impregnación</t>
        </is>
      </c>
      <c r="E3" s="4" t="n">
        <v>1437</v>
      </c>
      <c r="F3" s="4" t="n">
        <v>1340.21</v>
      </c>
      <c r="G3" s="4" t="n">
        <v>1089.51</v>
      </c>
      <c r="H3" s="4" t="n">
        <v>3866.72</v>
      </c>
      <c r="I3" s="2" t="inlineStr">
        <is>
          <t>costo_soporte_AC = mantenimiento_AC + control_calidad_AC + ingenieria_AC</t>
        </is>
      </c>
      <c r="J3" s="2" t="inlineStr">
        <is>
          <t>Soporte_Mantenimiento(CI) + Soporte_Control_Calidad(CI) + Soporte_Ingenieria(CI)</t>
        </is>
      </c>
      <c r="K3" s="2" t="inlineStr">
        <is>
          <t>Calculo generado por el sistema.</t>
        </is>
      </c>
    </row>
    <row r="4">
      <c r="A4" s="2" t="n">
        <v>4</v>
      </c>
      <c r="B4" s="2" t="inlineStr">
        <is>
          <t>AC002</t>
        </is>
      </c>
      <c r="C4" s="2" t="inlineStr">
        <is>
          <t>FO-2</t>
        </is>
      </c>
      <c r="D4" s="2" t="inlineStr">
        <is>
          <t>Enrollado</t>
        </is>
      </c>
      <c r="E4" s="4" t="n">
        <v>137</v>
      </c>
      <c r="F4" s="4" t="n">
        <v>640.97</v>
      </c>
      <c r="G4" s="4" t="n">
        <v>521.0700000000001</v>
      </c>
      <c r="H4" s="4" t="n">
        <v>1299.04</v>
      </c>
      <c r="I4" s="2" t="inlineStr">
        <is>
          <t>costo_soporte_AC = mantenimiento_AC + control_calidad_AC + ingenieria_AC</t>
        </is>
      </c>
      <c r="J4" s="2" t="inlineStr">
        <is>
          <t>Soporte_Mantenimiento(CI) + Soporte_Control_Calidad(CI) + Soporte_Ingenieria(CI)</t>
        </is>
      </c>
      <c r="K4" s="2" t="inlineStr">
        <is>
          <t>Calculo generado por el sistema.</t>
        </is>
      </c>
    </row>
    <row r="5">
      <c r="A5" s="2" t="n">
        <v>4</v>
      </c>
      <c r="B5" s="2" t="inlineStr">
        <is>
          <t>AC003</t>
        </is>
      </c>
      <c r="C5" s="2" t="inlineStr">
        <is>
          <t>FO-3</t>
        </is>
      </c>
      <c r="D5" s="2" t="inlineStr">
        <is>
          <t>Prensado</t>
        </is>
      </c>
      <c r="E5" s="4" t="n">
        <v>4371</v>
      </c>
      <c r="F5" s="4" t="n">
        <v>990.59</v>
      </c>
      <c r="G5" s="4" t="n">
        <v>805.2900000000001</v>
      </c>
      <c r="H5" s="4" t="n">
        <v>6166.88</v>
      </c>
      <c r="I5" s="2" t="inlineStr">
        <is>
          <t>costo_soporte_AC = mantenimiento_AC + control_calidad_AC + ingenieria_AC</t>
        </is>
      </c>
      <c r="J5" s="2" t="inlineStr">
        <is>
          <t>Soporte_Mantenimiento(CI) + Soporte_Control_Calidad(CI) + Soporte_Ingenieria(CI)</t>
        </is>
      </c>
      <c r="K5" s="2" t="inlineStr">
        <is>
          <t>Calculo generado por el sistema.</t>
        </is>
      </c>
    </row>
    <row r="6">
      <c r="A6" s="2" t="n">
        <v>4</v>
      </c>
      <c r="B6" s="2" t="inlineStr">
        <is>
          <t>AC004</t>
        </is>
      </c>
      <c r="C6" s="2" t="inlineStr">
        <is>
          <t>FO-4</t>
        </is>
      </c>
      <c r="D6" s="2" t="inlineStr">
        <is>
          <t>Horneado</t>
        </is>
      </c>
      <c r="E6" s="4" t="n">
        <v>1258</v>
      </c>
      <c r="F6" s="4" t="n">
        <v>1281.94</v>
      </c>
      <c r="G6" s="4" t="n">
        <v>1042.14</v>
      </c>
      <c r="H6" s="4" t="n">
        <v>3582.08</v>
      </c>
      <c r="I6" s="2" t="inlineStr">
        <is>
          <t>costo_soporte_AC = mantenimiento_AC + control_calidad_AC + ingenieria_AC</t>
        </is>
      </c>
      <c r="J6" s="2" t="inlineStr">
        <is>
          <t>Soporte_Mantenimiento(CI) + Soporte_Control_Calidad(CI) + Soporte_Ingenieria(CI)</t>
        </is>
      </c>
      <c r="K6" s="2" t="inlineStr">
        <is>
          <t>Calculo generado por el sistema.</t>
        </is>
      </c>
    </row>
    <row r="7">
      <c r="A7" s="2" t="n">
        <v>4</v>
      </c>
      <c r="B7" s="2" t="inlineStr">
        <is>
          <t>AC005</t>
        </is>
      </c>
      <c r="C7" s="2" t="inlineStr">
        <is>
          <t>FO-5</t>
        </is>
      </c>
      <c r="D7" s="2" t="inlineStr">
        <is>
          <t>Lijado</t>
        </is>
      </c>
      <c r="E7" s="4" t="n">
        <v>5672</v>
      </c>
      <c r="F7" s="4" t="n">
        <v>524.4299999999999</v>
      </c>
      <c r="G7" s="4" t="n">
        <v>426.33</v>
      </c>
      <c r="H7" s="4" t="n">
        <v>6622.76</v>
      </c>
      <c r="I7" s="2" t="inlineStr">
        <is>
          <t>costo_soporte_AC = mantenimiento_AC + control_calidad_AC + ingenieria_AC</t>
        </is>
      </c>
      <c r="J7" s="2" t="inlineStr">
        <is>
          <t>Soporte_Mantenimiento(CI) + Soporte_Control_Calidad(CI) + Soporte_Ingenieria(CI)</t>
        </is>
      </c>
      <c r="K7" s="2" t="inlineStr">
        <is>
          <t>Calculo generado por el sistema.</t>
        </is>
      </c>
    </row>
    <row r="8">
      <c r="A8" s="2" t="n">
        <v>4</v>
      </c>
      <c r="B8" s="2" t="inlineStr">
        <is>
          <t>AC006</t>
        </is>
      </c>
      <c r="C8" s="2" t="inlineStr">
        <is>
          <t>FO-6</t>
        </is>
      </c>
      <c r="D8" s="2" t="inlineStr">
        <is>
          <t>Taladrado</t>
        </is>
      </c>
      <c r="E8" s="4" t="n">
        <v>1425</v>
      </c>
      <c r="F8" s="4" t="n">
        <v>582.7</v>
      </c>
      <c r="G8" s="4" t="n">
        <v>473.7</v>
      </c>
      <c r="H8" s="4" t="n">
        <v>2481.4</v>
      </c>
      <c r="I8" s="2" t="inlineStr">
        <is>
          <t>costo_soporte_AC = mantenimiento_AC + control_calidad_AC + ingenieria_AC</t>
        </is>
      </c>
      <c r="J8" s="2" t="inlineStr">
        <is>
          <t>Soporte_Mantenimiento(CI) + Soporte_Control_Calidad(CI) + Soporte_Ingenieria(CI)</t>
        </is>
      </c>
      <c r="K8" s="2" t="inlineStr">
        <is>
          <t>Calculo generado por el sistema.</t>
        </is>
      </c>
    </row>
    <row r="9">
      <c r="A9" s="2" t="n">
        <v>4</v>
      </c>
      <c r="B9" s="2" t="inlineStr">
        <is>
          <t>AC007</t>
        </is>
      </c>
      <c r="C9" s="2" t="inlineStr">
        <is>
          <t>FO-7</t>
        </is>
      </c>
      <c r="D9" s="2" t="inlineStr">
        <is>
          <t>Acabado</t>
        </is>
      </c>
      <c r="E9" s="4" t="n">
        <v>238</v>
      </c>
      <c r="F9" s="4" t="n">
        <v>466.16</v>
      </c>
      <c r="G9" s="4" t="n">
        <v>378.96</v>
      </c>
      <c r="H9" s="4" t="n">
        <v>1083.12</v>
      </c>
      <c r="I9" s="2" t="inlineStr">
        <is>
          <t>costo_soporte_AC = mantenimiento_AC + control_calidad_AC + ingenieria_AC</t>
        </is>
      </c>
      <c r="J9" s="2" t="inlineStr">
        <is>
          <t>Soporte_Mantenimiento(CI) + Soporte_Control_Calidad(CI) + Soporte_Ingenieria(CI)</t>
        </is>
      </c>
      <c r="K9" s="2" t="inlineStr">
        <is>
          <t>Calculo generado por el sistema.</t>
        </is>
      </c>
    </row>
  </sheetData>
  <autoFilter ref="A1:K9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18" customWidth="1" min="4" max="4"/>
    <col width="13" customWidth="1" min="5" max="5"/>
    <col width="25" customWidth="1" min="6" max="6"/>
    <col width="21" customWidth="1" min="7" max="7"/>
    <col width="20" customWidth="1" min="8" max="8"/>
    <col width="20" customWidth="1" min="9" max="9"/>
    <col width="45" customWidth="1" min="10" max="10"/>
    <col width="33" customWidth="1" min="11" max="11"/>
    <col width="45" customWidth="1" min="12" max="12"/>
  </cols>
  <sheetData>
    <row r="1">
      <c r="A1" s="1" t="inlineStr">
        <is>
          <t>Proceso 1: EC -&gt; AC - Total_Actividad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run_id</t>
        </is>
      </c>
      <c r="B2" s="3" t="inlineStr">
        <is>
          <t>actividad_id</t>
        </is>
      </c>
      <c r="C2" s="3" t="inlineStr">
        <is>
          <t>codigo_actividad</t>
        </is>
      </c>
      <c r="D2" s="3" t="inlineStr">
        <is>
          <t>nombre_actividad</t>
        </is>
      </c>
      <c r="E2" s="3" t="inlineStr">
        <is>
          <t>costo_pd_ac</t>
        </is>
      </c>
      <c r="F2" s="3" t="inlineStr">
        <is>
          <t>costo_otros_recursos_ac</t>
        </is>
      </c>
      <c r="G2" s="3" t="inlineStr">
        <is>
          <t>costo_conversion_ac</t>
        </is>
      </c>
      <c r="H2" s="3" t="inlineStr">
        <is>
          <t>costo_soporte_ac</t>
        </is>
      </c>
      <c r="I2" s="3" t="inlineStr">
        <is>
          <t>costo_total_ac</t>
        </is>
      </c>
      <c r="J2" s="3" t="inlineStr">
        <is>
          <t>formula</t>
        </is>
      </c>
      <c r="K2" s="3" t="inlineStr">
        <is>
          <t>fuente</t>
        </is>
      </c>
      <c r="L2" s="3" t="inlineStr">
        <is>
          <t>observacion</t>
        </is>
      </c>
    </row>
    <row r="3">
      <c r="A3" s="2" t="n">
        <v>4</v>
      </c>
      <c r="B3" s="2" t="inlineStr">
        <is>
          <t>AC001</t>
        </is>
      </c>
      <c r="C3" s="2" t="inlineStr">
        <is>
          <t>FO-1</t>
        </is>
      </c>
      <c r="D3" s="2" t="inlineStr">
        <is>
          <t>Impregnación</t>
        </is>
      </c>
      <c r="E3" s="4" t="n">
        <v>20709</v>
      </c>
      <c r="F3" s="4" t="n">
        <v>19699.58</v>
      </c>
      <c r="G3" s="4" t="n">
        <v>40408.58</v>
      </c>
      <c r="H3" s="4" t="n">
        <v>3866.72</v>
      </c>
      <c r="I3" s="4" t="n">
        <v>44275.3</v>
      </c>
      <c r="J3" s="2" t="inlineStr">
        <is>
          <t>costo_total_AC = PD_AC + otros_recursos_AC + soporte_AC</t>
        </is>
      </c>
      <c r="K3" s="2" t="inlineStr">
        <is>
          <t>Calculos PD, EC-AC y Soporte-AC</t>
        </is>
      </c>
      <c r="L3" s="2" t="inlineStr">
        <is>
          <t>Total por actividad generado por el sistema.</t>
        </is>
      </c>
    </row>
    <row r="4">
      <c r="A4" s="2" t="n">
        <v>4</v>
      </c>
      <c r="B4" s="2" t="inlineStr">
        <is>
          <t>AC002</t>
        </is>
      </c>
      <c r="C4" s="2" t="inlineStr">
        <is>
          <t>FO-2</t>
        </is>
      </c>
      <c r="D4" s="2" t="inlineStr">
        <is>
          <t>Enrollado</t>
        </is>
      </c>
      <c r="E4" s="4" t="n">
        <v>6372</v>
      </c>
      <c r="F4" s="4" t="n">
        <v>11494.72</v>
      </c>
      <c r="G4" s="4" t="n">
        <v>17866.72</v>
      </c>
      <c r="H4" s="4" t="n">
        <v>1299.04</v>
      </c>
      <c r="I4" s="4" t="n">
        <v>19165.76</v>
      </c>
      <c r="J4" s="2" t="inlineStr">
        <is>
          <t>costo_total_AC = PD_AC + otros_recursos_AC + soporte_AC</t>
        </is>
      </c>
      <c r="K4" s="2" t="inlineStr">
        <is>
          <t>Calculos PD, EC-AC y Soporte-AC</t>
        </is>
      </c>
      <c r="L4" s="2" t="inlineStr">
        <is>
          <t>Total por actividad generado por el sistema.</t>
        </is>
      </c>
    </row>
    <row r="5">
      <c r="A5" s="2" t="n">
        <v>4</v>
      </c>
      <c r="B5" s="2" t="inlineStr">
        <is>
          <t>AC003</t>
        </is>
      </c>
      <c r="C5" s="2" t="inlineStr">
        <is>
          <t>FO-3</t>
        </is>
      </c>
      <c r="D5" s="2" t="inlineStr">
        <is>
          <t>Prensado</t>
        </is>
      </c>
      <c r="E5" s="4" t="n">
        <v>13541</v>
      </c>
      <c r="F5" s="4" t="n">
        <v>15053.06</v>
      </c>
      <c r="G5" s="4" t="n">
        <v>28594.06</v>
      </c>
      <c r="H5" s="4" t="n">
        <v>6166.88</v>
      </c>
      <c r="I5" s="4" t="n">
        <v>34760.94</v>
      </c>
      <c r="J5" s="2" t="inlineStr">
        <is>
          <t>costo_total_AC = PD_AC + otros_recursos_AC + soporte_AC</t>
        </is>
      </c>
      <c r="K5" s="2" t="inlineStr">
        <is>
          <t>Calculos PD, EC-AC y Soporte-AC</t>
        </is>
      </c>
      <c r="L5" s="2" t="inlineStr">
        <is>
          <t>Total por actividad generado por el sistema.</t>
        </is>
      </c>
    </row>
    <row r="6">
      <c r="A6" s="2" t="n">
        <v>4</v>
      </c>
      <c r="B6" s="2" t="inlineStr">
        <is>
          <t>AC004</t>
        </is>
      </c>
      <c r="C6" s="2" t="inlineStr">
        <is>
          <t>FO-4</t>
        </is>
      </c>
      <c r="D6" s="2" t="inlineStr">
        <is>
          <t>Horneado</t>
        </is>
      </c>
      <c r="E6" s="4" t="n">
        <v>21506</v>
      </c>
      <c r="F6" s="4" t="n">
        <v>15844.38</v>
      </c>
      <c r="G6" s="4" t="n">
        <v>37350.38</v>
      </c>
      <c r="H6" s="4" t="n">
        <v>3582.08</v>
      </c>
      <c r="I6" s="4" t="n">
        <v>40932.46</v>
      </c>
      <c r="J6" s="2" t="inlineStr">
        <is>
          <t>costo_total_AC = PD_AC + otros_recursos_AC + soporte_AC</t>
        </is>
      </c>
      <c r="K6" s="2" t="inlineStr">
        <is>
          <t>Calculos PD, EC-AC y Soporte-AC</t>
        </is>
      </c>
      <c r="L6" s="2" t="inlineStr">
        <is>
          <t>Total por actividad generado por el sistema.</t>
        </is>
      </c>
    </row>
    <row r="7">
      <c r="A7" s="2" t="n">
        <v>4</v>
      </c>
      <c r="B7" s="2" t="inlineStr">
        <is>
          <t>AC005</t>
        </is>
      </c>
      <c r="C7" s="2" t="inlineStr">
        <is>
          <t>FO-5</t>
        </is>
      </c>
      <c r="D7" s="2" t="inlineStr">
        <is>
          <t>Lijado</t>
        </is>
      </c>
      <c r="E7" s="4" t="n">
        <v>3186</v>
      </c>
      <c r="F7" s="4" t="n">
        <v>11743.7</v>
      </c>
      <c r="G7" s="4" t="n">
        <v>14929.7</v>
      </c>
      <c r="H7" s="4" t="n">
        <v>6622.76</v>
      </c>
      <c r="I7" s="4" t="n">
        <v>21552.46</v>
      </c>
      <c r="J7" s="2" t="inlineStr">
        <is>
          <t>costo_total_AC = PD_AC + otros_recursos_AC + soporte_AC</t>
        </is>
      </c>
      <c r="K7" s="2" t="inlineStr">
        <is>
          <t>Calculos PD, EC-AC y Soporte-AC</t>
        </is>
      </c>
      <c r="L7" s="2" t="inlineStr">
        <is>
          <t>Total por actividad generado por el sistema.</t>
        </is>
      </c>
    </row>
    <row r="8">
      <c r="A8" s="2" t="n">
        <v>4</v>
      </c>
      <c r="B8" s="2" t="inlineStr">
        <is>
          <t>AC006</t>
        </is>
      </c>
      <c r="C8" s="2" t="inlineStr">
        <is>
          <t>FO-6</t>
        </is>
      </c>
      <c r="D8" s="2" t="inlineStr">
        <is>
          <t>Taladrado</t>
        </is>
      </c>
      <c r="E8" s="4" t="n">
        <v>7965</v>
      </c>
      <c r="F8" s="4" t="n">
        <v>9865.08</v>
      </c>
      <c r="G8" s="4" t="n">
        <v>17830.08</v>
      </c>
      <c r="H8" s="4" t="n">
        <v>2481.4</v>
      </c>
      <c r="I8" s="4" t="n">
        <v>20311.48</v>
      </c>
      <c r="J8" s="2" t="inlineStr">
        <is>
          <t>costo_total_AC = PD_AC + otros_recursos_AC + soporte_AC</t>
        </is>
      </c>
      <c r="K8" s="2" t="inlineStr">
        <is>
          <t>Calculos PD, EC-AC y Soporte-AC</t>
        </is>
      </c>
      <c r="L8" s="2" t="inlineStr">
        <is>
          <t>Total por actividad generado por el sistema.</t>
        </is>
      </c>
    </row>
    <row r="9">
      <c r="A9" s="2" t="n">
        <v>4</v>
      </c>
      <c r="B9" s="2" t="inlineStr">
        <is>
          <t>AC007</t>
        </is>
      </c>
      <c r="C9" s="2" t="inlineStr">
        <is>
          <t>FO-7</t>
        </is>
      </c>
      <c r="D9" s="2" t="inlineStr">
        <is>
          <t>Acabado</t>
        </is>
      </c>
      <c r="E9" s="4" t="n">
        <v>5576</v>
      </c>
      <c r="F9" s="4" t="n">
        <v>8625.299999999999</v>
      </c>
      <c r="G9" s="4" t="n">
        <v>14201.3</v>
      </c>
      <c r="H9" s="4" t="n">
        <v>1083.12</v>
      </c>
      <c r="I9" s="4" t="n">
        <v>15284.42</v>
      </c>
      <c r="J9" s="2" t="inlineStr">
        <is>
          <t>costo_total_AC = PD_AC + otros_recursos_AC + soporte_AC</t>
        </is>
      </c>
      <c r="K9" s="2" t="inlineStr">
        <is>
          <t>Calculos PD, EC-AC y Soporte-AC</t>
        </is>
      </c>
      <c r="L9" s="2" t="inlineStr">
        <is>
          <t>Total por actividad generado por el sistema.</t>
        </is>
      </c>
    </row>
  </sheetData>
  <autoFilter ref="A1:L9"/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6" customWidth="1" min="3" max="3"/>
    <col width="20" customWidth="1" min="4" max="4"/>
    <col width="14" customWidth="1" min="5" max="5"/>
    <col width="18" customWidth="1" min="6" max="6"/>
    <col width="18" customWidth="1" min="7" max="7"/>
    <col width="23" customWidth="1" min="8" max="8"/>
    <col width="21" customWidth="1" min="9" max="9"/>
    <col width="20" customWidth="1" min="10" max="10"/>
    <col width="45" customWidth="1" min="11" max="11"/>
    <col width="45" customWidth="1" min="12" max="12"/>
    <col width="45" customWidth="1" min="13" max="13"/>
  </cols>
  <sheetData>
    <row r="1">
      <c r="A1" s="1" t="inlineStr">
        <is>
          <t>Proceso 1: EC -&gt; AC - Detalle_EC_AC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run_id</t>
        </is>
      </c>
      <c r="B2" s="3" t="inlineStr">
        <is>
          <t>elemento_costo_id</t>
        </is>
      </c>
      <c r="C2" s="3" t="inlineStr">
        <is>
          <t>codigo_recurso</t>
        </is>
      </c>
      <c r="D2" s="3" t="inlineStr">
        <is>
          <t>nombre_recurso</t>
        </is>
      </c>
      <c r="E2" s="3" t="inlineStr">
        <is>
          <t>actividad_id</t>
        </is>
      </c>
      <c r="F2" s="3" t="inlineStr">
        <is>
          <t>codigo_actividad</t>
        </is>
      </c>
      <c r="G2" s="3" t="inlineStr">
        <is>
          <t>nombre_actividad</t>
        </is>
      </c>
      <c r="H2" s="3" t="inlineStr">
        <is>
          <t>importe_recurso_soles</t>
        </is>
      </c>
      <c r="I2" s="3" t="inlineStr">
        <is>
          <t>porcentaje_inductor</t>
        </is>
      </c>
      <c r="J2" s="3" t="inlineStr">
        <is>
          <t>costo_recurso_ac</t>
        </is>
      </c>
      <c r="K2" s="3" t="inlineStr">
        <is>
          <t>formula</t>
        </is>
      </c>
      <c r="L2" s="3" t="inlineStr">
        <is>
          <t>fuente</t>
        </is>
      </c>
      <c r="M2" s="3" t="inlineStr">
        <is>
          <t>observacion</t>
        </is>
      </c>
    </row>
    <row r="3">
      <c r="A3" s="2" t="n">
        <v>4</v>
      </c>
      <c r="B3" s="4" t="inlineStr">
        <is>
          <t>EC001</t>
        </is>
      </c>
      <c r="C3" s="2" t="inlineStr">
        <is>
          <t>REC001</t>
        </is>
      </c>
      <c r="D3" s="2" t="inlineStr">
        <is>
          <t>Personal indirecto</t>
        </is>
      </c>
      <c r="E3" s="2" t="inlineStr">
        <is>
          <t>AC001</t>
        </is>
      </c>
      <c r="F3" s="2" t="inlineStr">
        <is>
          <t>FO-1</t>
        </is>
      </c>
      <c r="G3" s="2" t="inlineStr">
        <is>
          <t>Impregnación</t>
        </is>
      </c>
      <c r="H3" s="4" t="n">
        <v>5724</v>
      </c>
      <c r="I3" s="5" t="n">
        <v>0.14</v>
      </c>
      <c r="J3" s="4" t="n">
        <v>801.3600000000001</v>
      </c>
      <c r="K3" s="2" t="inlineStr">
        <is>
          <t>costo_recurso_AC = importe_recurso * porcentaje_inductor_recurso_AC</t>
        </is>
      </c>
      <c r="L3" s="2" t="inlineStr">
        <is>
          <t>Cherres Juárez (2010), Un caso de aplicación del sistema ABC en una empresa peruana: Frenosa, Contabilidad y Negocios, PUCP</t>
        </is>
      </c>
      <c r="M3" s="2" t="inlineStr">
        <is>
          <t>Peso de inductor. El sistema debe calcular importe recurso × porcentaje.</t>
        </is>
      </c>
    </row>
    <row r="4">
      <c r="A4" s="2" t="n">
        <v>4</v>
      </c>
      <c r="B4" s="4" t="inlineStr">
        <is>
          <t>EC001</t>
        </is>
      </c>
      <c r="C4" s="2" t="inlineStr">
        <is>
          <t>REC001</t>
        </is>
      </c>
      <c r="D4" s="2" t="inlineStr">
        <is>
          <t>Personal indirecto</t>
        </is>
      </c>
      <c r="E4" s="2" t="inlineStr">
        <is>
          <t>AC002</t>
        </is>
      </c>
      <c r="F4" s="2" t="inlineStr">
        <is>
          <t>FO-2</t>
        </is>
      </c>
      <c r="G4" s="2" t="inlineStr">
        <is>
          <t>Enrollado</t>
        </is>
      </c>
      <c r="H4" s="4" t="n">
        <v>5724</v>
      </c>
      <c r="I4" s="5" t="n">
        <v>0.19</v>
      </c>
      <c r="J4" s="4" t="n">
        <v>1087.56</v>
      </c>
      <c r="K4" s="2" t="inlineStr">
        <is>
          <t>costo_recurso_AC = importe_recurso * porcentaje_inductor_recurso_AC</t>
        </is>
      </c>
      <c r="L4" s="2" t="inlineStr">
        <is>
          <t>Cherres Juárez (2010), Un caso de aplicación del sistema ABC en una empresa peruana: Frenosa, Contabilidad y Negocios, PUCP</t>
        </is>
      </c>
      <c r="M4" s="2" t="inlineStr">
        <is>
          <t>Peso de inductor. El sistema debe calcular importe recurso × porcentaje.</t>
        </is>
      </c>
    </row>
    <row r="5">
      <c r="A5" s="2" t="n">
        <v>4</v>
      </c>
      <c r="B5" s="4" t="inlineStr">
        <is>
          <t>EC001</t>
        </is>
      </c>
      <c r="C5" s="2" t="inlineStr">
        <is>
          <t>REC001</t>
        </is>
      </c>
      <c r="D5" s="2" t="inlineStr">
        <is>
          <t>Personal indirecto</t>
        </is>
      </c>
      <c r="E5" s="2" t="inlineStr">
        <is>
          <t>AC003</t>
        </is>
      </c>
      <c r="F5" s="2" t="inlineStr">
        <is>
          <t>FO-3</t>
        </is>
      </c>
      <c r="G5" s="2" t="inlineStr">
        <is>
          <t>Prensado</t>
        </is>
      </c>
      <c r="H5" s="4" t="n">
        <v>5724</v>
      </c>
      <c r="I5" s="5" t="n">
        <v>0.49</v>
      </c>
      <c r="J5" s="4" t="n">
        <v>2804.76</v>
      </c>
      <c r="K5" s="2" t="inlineStr">
        <is>
          <t>costo_recurso_AC = importe_recurso * porcentaje_inductor_recurso_AC</t>
        </is>
      </c>
      <c r="L5" s="2" t="inlineStr">
        <is>
          <t>Cherres Juárez (2010), Un caso de aplicación del sistema ABC en una empresa peruana: Frenosa, Contabilidad y Negocios, PUCP</t>
        </is>
      </c>
      <c r="M5" s="2" t="inlineStr">
        <is>
          <t>Peso de inductor. El sistema debe calcular importe recurso × porcentaje.</t>
        </is>
      </c>
    </row>
    <row r="6">
      <c r="A6" s="2" t="n">
        <v>4</v>
      </c>
      <c r="B6" s="4" t="inlineStr">
        <is>
          <t>EC001</t>
        </is>
      </c>
      <c r="C6" s="2" t="inlineStr">
        <is>
          <t>REC001</t>
        </is>
      </c>
      <c r="D6" s="2" t="inlineStr">
        <is>
          <t>Personal indirecto</t>
        </is>
      </c>
      <c r="E6" s="2" t="inlineStr">
        <is>
          <t>AC004</t>
        </is>
      </c>
      <c r="F6" s="2" t="inlineStr">
        <is>
          <t>FO-4</t>
        </is>
      </c>
      <c r="G6" s="2" t="inlineStr">
        <is>
          <t>Horneado</t>
        </is>
      </c>
      <c r="H6" s="4" t="n">
        <v>5724</v>
      </c>
      <c r="I6" s="5" t="n">
        <v>0.09</v>
      </c>
      <c r="J6" s="4" t="n">
        <v>515.16</v>
      </c>
      <c r="K6" s="2" t="inlineStr">
        <is>
          <t>costo_recurso_AC = importe_recurso * porcentaje_inductor_recurso_AC</t>
        </is>
      </c>
      <c r="L6" s="2" t="inlineStr">
        <is>
          <t>Cherres Juárez (2010), Un caso de aplicación del sistema ABC en una empresa peruana: Frenosa, Contabilidad y Negocios, PUCP</t>
        </is>
      </c>
      <c r="M6" s="2" t="inlineStr">
        <is>
          <t>Peso de inductor. El sistema debe calcular importe recurso × porcentaje.</t>
        </is>
      </c>
    </row>
    <row r="7">
      <c r="A7" s="2" t="n">
        <v>4</v>
      </c>
      <c r="B7" s="4" t="inlineStr">
        <is>
          <t>EC001</t>
        </is>
      </c>
      <c r="C7" s="2" t="inlineStr">
        <is>
          <t>REC001</t>
        </is>
      </c>
      <c r="D7" s="2" t="inlineStr">
        <is>
          <t>Personal indirecto</t>
        </is>
      </c>
      <c r="E7" s="2" t="inlineStr">
        <is>
          <t>AC005</t>
        </is>
      </c>
      <c r="F7" s="2" t="inlineStr">
        <is>
          <t>FO-5</t>
        </is>
      </c>
      <c r="G7" s="2" t="inlineStr">
        <is>
          <t>Lijado</t>
        </is>
      </c>
      <c r="H7" s="4" t="n">
        <v>5724</v>
      </c>
      <c r="I7" s="5" t="n">
        <v>0.03</v>
      </c>
      <c r="J7" s="4" t="n">
        <v>171.72</v>
      </c>
      <c r="K7" s="2" t="inlineStr">
        <is>
          <t>costo_recurso_AC = importe_recurso * porcentaje_inductor_recurso_AC</t>
        </is>
      </c>
      <c r="L7" s="2" t="inlineStr">
        <is>
          <t>Cherres Juárez (2010), Un caso de aplicación del sistema ABC en una empresa peruana: Frenosa, Contabilidad y Negocios, PUCP</t>
        </is>
      </c>
      <c r="M7" s="2" t="inlineStr">
        <is>
          <t>Peso de inductor. El sistema debe calcular importe recurso × porcentaje.</t>
        </is>
      </c>
    </row>
    <row r="8">
      <c r="A8" s="2" t="n">
        <v>4</v>
      </c>
      <c r="B8" s="4" t="inlineStr">
        <is>
          <t>EC001</t>
        </is>
      </c>
      <c r="C8" s="2" t="inlineStr">
        <is>
          <t>REC001</t>
        </is>
      </c>
      <c r="D8" s="2" t="inlineStr">
        <is>
          <t>Personal indirecto</t>
        </is>
      </c>
      <c r="E8" s="2" t="inlineStr">
        <is>
          <t>AC006</t>
        </is>
      </c>
      <c r="F8" s="2" t="inlineStr">
        <is>
          <t>FO-6</t>
        </is>
      </c>
      <c r="G8" s="2" t="inlineStr">
        <is>
          <t>Taladrado</t>
        </is>
      </c>
      <c r="H8" s="4" t="n">
        <v>5724</v>
      </c>
      <c r="I8" s="5" t="n">
        <v>0.03</v>
      </c>
      <c r="J8" s="4" t="n">
        <v>171.72</v>
      </c>
      <c r="K8" s="2" t="inlineStr">
        <is>
          <t>costo_recurso_AC = importe_recurso * porcentaje_inductor_recurso_AC</t>
        </is>
      </c>
      <c r="L8" s="2" t="inlineStr">
        <is>
          <t>Cherres Juárez (2010), Un caso de aplicación del sistema ABC en una empresa peruana: Frenosa, Contabilidad y Negocios, PUCP</t>
        </is>
      </c>
      <c r="M8" s="2" t="inlineStr">
        <is>
          <t>Peso de inductor. El sistema debe calcular importe recurso × porcentaje.</t>
        </is>
      </c>
    </row>
    <row r="9">
      <c r="A9" s="2" t="n">
        <v>4</v>
      </c>
      <c r="B9" s="4" t="inlineStr">
        <is>
          <t>EC001</t>
        </is>
      </c>
      <c r="C9" s="2" t="inlineStr">
        <is>
          <t>REC001</t>
        </is>
      </c>
      <c r="D9" s="2" t="inlineStr">
        <is>
          <t>Personal indirecto</t>
        </is>
      </c>
      <c r="E9" s="2" t="inlineStr">
        <is>
          <t>AC007</t>
        </is>
      </c>
      <c r="F9" s="2" t="inlineStr">
        <is>
          <t>FO-7</t>
        </is>
      </c>
      <c r="G9" s="2" t="inlineStr">
        <is>
          <t>Acabado</t>
        </is>
      </c>
      <c r="H9" s="4" t="n">
        <v>5724</v>
      </c>
      <c r="I9" s="5" t="n">
        <v>0.03</v>
      </c>
      <c r="J9" s="4" t="n">
        <v>171.72</v>
      </c>
      <c r="K9" s="2" t="inlineStr">
        <is>
          <t>costo_recurso_AC = importe_recurso * porcentaje_inductor_recurso_AC</t>
        </is>
      </c>
      <c r="L9" s="2" t="inlineStr">
        <is>
          <t>Cherres Juárez (2010), Un caso de aplicación del sistema ABC en una empresa peruana: Frenosa, Contabilidad y Negocios, PUCP</t>
        </is>
      </c>
      <c r="M9" s="2" t="inlineStr">
        <is>
          <t>Peso de inductor. El sistema debe calcular importe recurso × porcentaje.</t>
        </is>
      </c>
    </row>
    <row r="10">
      <c r="A10" s="2" t="n">
        <v>4</v>
      </c>
      <c r="B10" s="4" t="inlineStr">
        <is>
          <t>EC002</t>
        </is>
      </c>
      <c r="C10" s="2" t="inlineStr">
        <is>
          <t>REC002</t>
        </is>
      </c>
      <c r="D10" s="2" t="inlineStr">
        <is>
          <t>Servicios</t>
        </is>
      </c>
      <c r="E10" s="2" t="inlineStr">
        <is>
          <t>AC001</t>
        </is>
      </c>
      <c r="F10" s="2" t="inlineStr">
        <is>
          <t>FO-1</t>
        </is>
      </c>
      <c r="G10" s="2" t="inlineStr">
        <is>
          <t>Impregnación</t>
        </is>
      </c>
      <c r="H10" s="4" t="n">
        <v>8199</v>
      </c>
      <c r="I10" s="5" t="n">
        <v>0.17</v>
      </c>
      <c r="J10" s="4" t="n">
        <v>1393.83</v>
      </c>
      <c r="K10" s="2" t="inlineStr">
        <is>
          <t>costo_recurso_AC = importe_recurso * porcentaje_inductor_recurso_AC</t>
        </is>
      </c>
      <c r="L10" s="2" t="inlineStr">
        <is>
          <t>Cherres Juárez (2010), Un caso de aplicación del sistema ABC en una empresa peruana: Frenosa, Contabilidad y Negocios, PUCP</t>
        </is>
      </c>
      <c r="M10" s="2" t="inlineStr">
        <is>
          <t>Peso de inductor. El sistema debe calcular importe recurso × porcentaje.</t>
        </is>
      </c>
    </row>
    <row r="11">
      <c r="A11" s="2" t="n">
        <v>4</v>
      </c>
      <c r="B11" s="4" t="inlineStr">
        <is>
          <t>EC002</t>
        </is>
      </c>
      <c r="C11" s="2" t="inlineStr">
        <is>
          <t>REC002</t>
        </is>
      </c>
      <c r="D11" s="2" t="inlineStr">
        <is>
          <t>Servicios</t>
        </is>
      </c>
      <c r="E11" s="2" t="inlineStr">
        <is>
          <t>AC002</t>
        </is>
      </c>
      <c r="F11" s="2" t="inlineStr">
        <is>
          <t>FO-2</t>
        </is>
      </c>
      <c r="G11" s="2" t="inlineStr">
        <is>
          <t>Enrollado</t>
        </is>
      </c>
      <c r="H11" s="4" t="n">
        <v>8199</v>
      </c>
      <c r="I11" s="5" t="n">
        <v>0.09</v>
      </c>
      <c r="J11" s="4" t="n">
        <v>737.91</v>
      </c>
      <c r="K11" s="2" t="inlineStr">
        <is>
          <t>costo_recurso_AC = importe_recurso * porcentaje_inductor_recurso_AC</t>
        </is>
      </c>
      <c r="L11" s="2" t="inlineStr">
        <is>
          <t>Cherres Juárez (2010), Un caso de aplicación del sistema ABC en una empresa peruana: Frenosa, Contabilidad y Negocios, PUCP</t>
        </is>
      </c>
      <c r="M11" s="2" t="inlineStr">
        <is>
          <t>Peso de inductor. El sistema debe calcular importe recurso × porcentaje.</t>
        </is>
      </c>
    </row>
    <row r="12">
      <c r="A12" s="2" t="n">
        <v>4</v>
      </c>
      <c r="B12" s="4" t="inlineStr">
        <is>
          <t>EC002</t>
        </is>
      </c>
      <c r="C12" s="2" t="inlineStr">
        <is>
          <t>REC002</t>
        </is>
      </c>
      <c r="D12" s="2" t="inlineStr">
        <is>
          <t>Servicios</t>
        </is>
      </c>
      <c r="E12" s="2" t="inlineStr">
        <is>
          <t>AC003</t>
        </is>
      </c>
      <c r="F12" s="2" t="inlineStr">
        <is>
          <t>FO-3</t>
        </is>
      </c>
      <c r="G12" s="2" t="inlineStr">
        <is>
          <t>Prensado</t>
        </is>
      </c>
      <c r="H12" s="4" t="n">
        <v>8199</v>
      </c>
      <c r="I12" s="5" t="n">
        <v>0.16</v>
      </c>
      <c r="J12" s="4" t="n">
        <v>1311.84</v>
      </c>
      <c r="K12" s="2" t="inlineStr">
        <is>
          <t>costo_recurso_AC = importe_recurso * porcentaje_inductor_recurso_AC</t>
        </is>
      </c>
      <c r="L12" s="2" t="inlineStr">
        <is>
          <t>Cherres Juárez (2010), Un caso de aplicación del sistema ABC en una empresa peruana: Frenosa, Contabilidad y Negocios, PUCP</t>
        </is>
      </c>
      <c r="M12" s="2" t="inlineStr">
        <is>
          <t>Peso de inductor. El sistema debe calcular importe recurso × porcentaje.</t>
        </is>
      </c>
    </row>
    <row r="13">
      <c r="A13" s="2" t="n">
        <v>4</v>
      </c>
      <c r="B13" s="4" t="inlineStr">
        <is>
          <t>EC002</t>
        </is>
      </c>
      <c r="C13" s="2" t="inlineStr">
        <is>
          <t>REC002</t>
        </is>
      </c>
      <c r="D13" s="2" t="inlineStr">
        <is>
          <t>Servicios</t>
        </is>
      </c>
      <c r="E13" s="2" t="inlineStr">
        <is>
          <t>AC004</t>
        </is>
      </c>
      <c r="F13" s="2" t="inlineStr">
        <is>
          <t>FO-4</t>
        </is>
      </c>
      <c r="G13" s="2" t="inlineStr">
        <is>
          <t>Horneado</t>
        </is>
      </c>
      <c r="H13" s="4" t="n">
        <v>8199</v>
      </c>
      <c r="I13" s="5" t="n">
        <v>0.22</v>
      </c>
      <c r="J13" s="4" t="n">
        <v>1803.78</v>
      </c>
      <c r="K13" s="2" t="inlineStr">
        <is>
          <t>costo_recurso_AC = importe_recurso * porcentaje_inductor_recurso_AC</t>
        </is>
      </c>
      <c r="L13" s="2" t="inlineStr">
        <is>
          <t>Cherres Juárez (2010), Un caso de aplicación del sistema ABC en una empresa peruana: Frenosa, Contabilidad y Negocios, PUCP</t>
        </is>
      </c>
      <c r="M13" s="2" t="inlineStr">
        <is>
          <t>Peso de inductor. El sistema debe calcular importe recurso × porcentaje.</t>
        </is>
      </c>
    </row>
    <row r="14">
      <c r="A14" s="2" t="n">
        <v>4</v>
      </c>
      <c r="B14" s="4" t="inlineStr">
        <is>
          <t>EC002</t>
        </is>
      </c>
      <c r="C14" s="2" t="inlineStr">
        <is>
          <t>REC002</t>
        </is>
      </c>
      <c r="D14" s="2" t="inlineStr">
        <is>
          <t>Servicios</t>
        </is>
      </c>
      <c r="E14" s="2" t="inlineStr">
        <is>
          <t>AC005</t>
        </is>
      </c>
      <c r="F14" s="2" t="inlineStr">
        <is>
          <t>FO-5</t>
        </is>
      </c>
      <c r="G14" s="2" t="inlineStr">
        <is>
          <t>Lijado</t>
        </is>
      </c>
      <c r="H14" s="4" t="n">
        <v>8199</v>
      </c>
      <c r="I14" s="5" t="n">
        <v>0.14</v>
      </c>
      <c r="J14" s="4" t="n">
        <v>1147.86</v>
      </c>
      <c r="K14" s="2" t="inlineStr">
        <is>
          <t>costo_recurso_AC = importe_recurso * porcentaje_inductor_recurso_AC</t>
        </is>
      </c>
      <c r="L14" s="2" t="inlineStr">
        <is>
          <t>Cherres Juárez (2010), Un caso de aplicación del sistema ABC en una empresa peruana: Frenosa, Contabilidad y Negocios, PUCP</t>
        </is>
      </c>
      <c r="M14" s="2" t="inlineStr">
        <is>
          <t>Peso de inductor. El sistema debe calcular importe recurso × porcentaje.</t>
        </is>
      </c>
    </row>
    <row r="15">
      <c r="A15" s="2" t="n">
        <v>4</v>
      </c>
      <c r="B15" s="4" t="inlineStr">
        <is>
          <t>EC002</t>
        </is>
      </c>
      <c r="C15" s="2" t="inlineStr">
        <is>
          <t>REC002</t>
        </is>
      </c>
      <c r="D15" s="2" t="inlineStr">
        <is>
          <t>Servicios</t>
        </is>
      </c>
      <c r="E15" s="2" t="inlineStr">
        <is>
          <t>AC006</t>
        </is>
      </c>
      <c r="F15" s="2" t="inlineStr">
        <is>
          <t>FO-6</t>
        </is>
      </c>
      <c r="G15" s="2" t="inlineStr">
        <is>
          <t>Taladrado</t>
        </is>
      </c>
      <c r="H15" s="4" t="n">
        <v>8199</v>
      </c>
      <c r="I15" s="5" t="n">
        <v>0.1</v>
      </c>
      <c r="J15" s="4" t="n">
        <v>819.9000000000001</v>
      </c>
      <c r="K15" s="2" t="inlineStr">
        <is>
          <t>costo_recurso_AC = importe_recurso * porcentaje_inductor_recurso_AC</t>
        </is>
      </c>
      <c r="L15" s="2" t="inlineStr">
        <is>
          <t>Cherres Juárez (2010), Un caso de aplicación del sistema ABC en una empresa peruana: Frenosa, Contabilidad y Negocios, PUCP</t>
        </is>
      </c>
      <c r="M15" s="2" t="inlineStr">
        <is>
          <t>Peso de inductor. El sistema debe calcular importe recurso × porcentaje.</t>
        </is>
      </c>
    </row>
    <row r="16">
      <c r="A16" s="2" t="n">
        <v>4</v>
      </c>
      <c r="B16" s="4" t="inlineStr">
        <is>
          <t>EC002</t>
        </is>
      </c>
      <c r="C16" s="2" t="inlineStr">
        <is>
          <t>REC002</t>
        </is>
      </c>
      <c r="D16" s="2" t="inlineStr">
        <is>
          <t>Servicios</t>
        </is>
      </c>
      <c r="E16" s="2" t="inlineStr">
        <is>
          <t>AC007</t>
        </is>
      </c>
      <c r="F16" s="2" t="inlineStr">
        <is>
          <t>FO-7</t>
        </is>
      </c>
      <c r="G16" s="2" t="inlineStr">
        <is>
          <t>Acabado</t>
        </is>
      </c>
      <c r="H16" s="4" t="n">
        <v>8199</v>
      </c>
      <c r="I16" s="5" t="n">
        <v>0.11</v>
      </c>
      <c r="J16" s="4" t="n">
        <v>901.89</v>
      </c>
      <c r="K16" s="2" t="inlineStr">
        <is>
          <t>costo_recurso_AC = importe_recurso * porcentaje_inductor_recurso_AC</t>
        </is>
      </c>
      <c r="L16" s="2" t="inlineStr">
        <is>
          <t>Cherres Juárez (2010), Un caso de aplicación del sistema ABC en una empresa peruana: Frenosa, Contabilidad y Negocios, PUCP</t>
        </is>
      </c>
      <c r="M16" s="2" t="inlineStr">
        <is>
          <t>Peso de inductor. El sistema debe calcular importe recurso × porcentaje.</t>
        </is>
      </c>
    </row>
    <row r="17">
      <c r="A17" s="2" t="n">
        <v>4</v>
      </c>
      <c r="B17" s="4" t="inlineStr">
        <is>
          <t>EC003</t>
        </is>
      </c>
      <c r="C17" s="2" t="inlineStr">
        <is>
          <t>REC003</t>
        </is>
      </c>
      <c r="D17" s="2" t="inlineStr">
        <is>
          <t>Operacionales</t>
        </is>
      </c>
      <c r="E17" s="2" t="inlineStr">
        <is>
          <t>AC001</t>
        </is>
      </c>
      <c r="F17" s="2" t="inlineStr">
        <is>
          <t>FO-1</t>
        </is>
      </c>
      <c r="G17" s="2" t="inlineStr">
        <is>
          <t>Impregnación</t>
        </is>
      </c>
      <c r="H17" s="4" t="n">
        <v>49769</v>
      </c>
      <c r="I17" s="5" t="n">
        <v>0.25</v>
      </c>
      <c r="J17" s="4" t="n">
        <v>12442.25</v>
      </c>
      <c r="K17" s="2" t="inlineStr">
        <is>
          <t>costo_recurso_AC = importe_recurso * porcentaje_inductor_recurso_AC</t>
        </is>
      </c>
      <c r="L17" s="2" t="inlineStr">
        <is>
          <t>Cherres Juárez (2010), Un caso de aplicación del sistema ABC en una empresa peruana: Frenosa, Contabilidad y Negocios, PUCP</t>
        </is>
      </c>
      <c r="M17" s="2" t="inlineStr">
        <is>
          <t>Peso de inductor. El sistema debe calcular importe recurso × porcentaje.</t>
        </is>
      </c>
    </row>
    <row r="18">
      <c r="A18" s="2" t="n">
        <v>4</v>
      </c>
      <c r="B18" s="4" t="inlineStr">
        <is>
          <t>EC003</t>
        </is>
      </c>
      <c r="C18" s="2" t="inlineStr">
        <is>
          <t>REC003</t>
        </is>
      </c>
      <c r="D18" s="2" t="inlineStr">
        <is>
          <t>Operacionales</t>
        </is>
      </c>
      <c r="E18" s="2" t="inlineStr">
        <is>
          <t>AC002</t>
        </is>
      </c>
      <c r="F18" s="2" t="inlineStr">
        <is>
          <t>FO-2</t>
        </is>
      </c>
      <c r="G18" s="2" t="inlineStr">
        <is>
          <t>Enrollado</t>
        </is>
      </c>
      <c r="H18" s="4" t="n">
        <v>49769</v>
      </c>
      <c r="I18" s="5" t="n">
        <v>0.14</v>
      </c>
      <c r="J18" s="4" t="n">
        <v>6967.660000000001</v>
      </c>
      <c r="K18" s="2" t="inlineStr">
        <is>
          <t>costo_recurso_AC = importe_recurso * porcentaje_inductor_recurso_AC</t>
        </is>
      </c>
      <c r="L18" s="2" t="inlineStr">
        <is>
          <t>Cherres Juárez (2010), Un caso de aplicación del sistema ABC en una empresa peruana: Frenosa, Contabilidad y Negocios, PUCP</t>
        </is>
      </c>
      <c r="M18" s="2" t="inlineStr">
        <is>
          <t>Peso de inductor. El sistema debe calcular importe recurso × porcentaje.</t>
        </is>
      </c>
    </row>
    <row r="19">
      <c r="A19" s="2" t="n">
        <v>4</v>
      </c>
      <c r="B19" s="4" t="inlineStr">
        <is>
          <t>EC003</t>
        </is>
      </c>
      <c r="C19" s="2" t="inlineStr">
        <is>
          <t>REC003</t>
        </is>
      </c>
      <c r="D19" s="2" t="inlineStr">
        <is>
          <t>Operacionales</t>
        </is>
      </c>
      <c r="E19" s="2" t="inlineStr">
        <is>
          <t>AC003</t>
        </is>
      </c>
      <c r="F19" s="2" t="inlineStr">
        <is>
          <t>FO-3</t>
        </is>
      </c>
      <c r="G19" s="2" t="inlineStr">
        <is>
          <t>Prensado</t>
        </is>
      </c>
      <c r="H19" s="4" t="n">
        <v>49769</v>
      </c>
      <c r="I19" s="5" t="n">
        <v>0.13</v>
      </c>
      <c r="J19" s="4" t="n">
        <v>6469.97</v>
      </c>
      <c r="K19" s="2" t="inlineStr">
        <is>
          <t>costo_recurso_AC = importe_recurso * porcentaje_inductor_recurso_AC</t>
        </is>
      </c>
      <c r="L19" s="2" t="inlineStr">
        <is>
          <t>Cherres Juárez (2010), Un caso de aplicación del sistema ABC en una empresa peruana: Frenosa, Contabilidad y Negocios, PUCP</t>
        </is>
      </c>
      <c r="M19" s="2" t="inlineStr">
        <is>
          <t>Peso de inductor. El sistema debe calcular importe recurso × porcentaje.</t>
        </is>
      </c>
    </row>
    <row r="20">
      <c r="A20" s="2" t="n">
        <v>4</v>
      </c>
      <c r="B20" s="4" t="inlineStr">
        <is>
          <t>EC003</t>
        </is>
      </c>
      <c r="C20" s="2" t="inlineStr">
        <is>
          <t>REC003</t>
        </is>
      </c>
      <c r="D20" s="2" t="inlineStr">
        <is>
          <t>Operacionales</t>
        </is>
      </c>
      <c r="E20" s="2" t="inlineStr">
        <is>
          <t>AC004</t>
        </is>
      </c>
      <c r="F20" s="2" t="inlineStr">
        <is>
          <t>FO-4</t>
        </is>
      </c>
      <c r="G20" s="2" t="inlineStr">
        <is>
          <t>Horneado</t>
        </is>
      </c>
      <c r="H20" s="4" t="n">
        <v>49769</v>
      </c>
      <c r="I20" s="5" t="n">
        <v>0.15</v>
      </c>
      <c r="J20" s="4" t="n">
        <v>7465.349999999999</v>
      </c>
      <c r="K20" s="2" t="inlineStr">
        <is>
          <t>costo_recurso_AC = importe_recurso * porcentaje_inductor_recurso_AC</t>
        </is>
      </c>
      <c r="L20" s="2" t="inlineStr">
        <is>
          <t>Cherres Juárez (2010), Un caso de aplicación del sistema ABC en una empresa peruana: Frenosa, Contabilidad y Negocios, PUCP</t>
        </is>
      </c>
      <c r="M20" s="2" t="inlineStr">
        <is>
          <t>Peso de inductor. El sistema debe calcular importe recurso × porcentaje.</t>
        </is>
      </c>
    </row>
    <row r="21">
      <c r="A21" s="2" t="n">
        <v>4</v>
      </c>
      <c r="B21" s="4" t="inlineStr">
        <is>
          <t>EC003</t>
        </is>
      </c>
      <c r="C21" s="2" t="inlineStr">
        <is>
          <t>REC003</t>
        </is>
      </c>
      <c r="D21" s="2" t="inlineStr">
        <is>
          <t>Operacionales</t>
        </is>
      </c>
      <c r="E21" s="2" t="inlineStr">
        <is>
          <t>AC005</t>
        </is>
      </c>
      <c r="F21" s="2" t="inlineStr">
        <is>
          <t>FO-5</t>
        </is>
      </c>
      <c r="G21" s="2" t="inlineStr">
        <is>
          <t>Lijado</t>
        </is>
      </c>
      <c r="H21" s="4" t="n">
        <v>49769</v>
      </c>
      <c r="I21" s="5" t="n">
        <v>0.13</v>
      </c>
      <c r="J21" s="4" t="n">
        <v>6469.97</v>
      </c>
      <c r="K21" s="2" t="inlineStr">
        <is>
          <t>costo_recurso_AC = importe_recurso * porcentaje_inductor_recurso_AC</t>
        </is>
      </c>
      <c r="L21" s="2" t="inlineStr">
        <is>
          <t>Cherres Juárez (2010), Un caso de aplicación del sistema ABC en una empresa peruana: Frenosa, Contabilidad y Negocios, PUCP</t>
        </is>
      </c>
      <c r="M21" s="2" t="inlineStr">
        <is>
          <t>Peso de inductor. El sistema debe calcular importe recurso × porcentaje.</t>
        </is>
      </c>
    </row>
    <row r="22">
      <c r="A22" s="2" t="n">
        <v>4</v>
      </c>
      <c r="B22" s="4" t="inlineStr">
        <is>
          <t>EC003</t>
        </is>
      </c>
      <c r="C22" s="2" t="inlineStr">
        <is>
          <t>REC003</t>
        </is>
      </c>
      <c r="D22" s="2" t="inlineStr">
        <is>
          <t>Operacionales</t>
        </is>
      </c>
      <c r="E22" s="2" t="inlineStr">
        <is>
          <t>AC006</t>
        </is>
      </c>
      <c r="F22" s="2" t="inlineStr">
        <is>
          <t>FO-6</t>
        </is>
      </c>
      <c r="G22" s="2" t="inlineStr">
        <is>
          <t>Taladrado</t>
        </is>
      </c>
      <c r="H22" s="4" t="n">
        <v>49769</v>
      </c>
      <c r="I22" s="5" t="n">
        <v>0.12</v>
      </c>
      <c r="J22" s="4" t="n">
        <v>5972.28</v>
      </c>
      <c r="K22" s="2" t="inlineStr">
        <is>
          <t>costo_recurso_AC = importe_recurso * porcentaje_inductor_recurso_AC</t>
        </is>
      </c>
      <c r="L22" s="2" t="inlineStr">
        <is>
          <t>Cherres Juárez (2010), Un caso de aplicación del sistema ABC en una empresa peruana: Frenosa, Contabilidad y Negocios, PUCP</t>
        </is>
      </c>
      <c r="M22" s="2" t="inlineStr">
        <is>
          <t>Peso de inductor. El sistema debe calcular importe recurso × porcentaje.</t>
        </is>
      </c>
    </row>
    <row r="23">
      <c r="A23" s="2" t="n">
        <v>4</v>
      </c>
      <c r="B23" s="4" t="inlineStr">
        <is>
          <t>EC003</t>
        </is>
      </c>
      <c r="C23" s="2" t="inlineStr">
        <is>
          <t>REC003</t>
        </is>
      </c>
      <c r="D23" s="2" t="inlineStr">
        <is>
          <t>Operacionales</t>
        </is>
      </c>
      <c r="E23" s="2" t="inlineStr">
        <is>
          <t>AC007</t>
        </is>
      </c>
      <c r="F23" s="2" t="inlineStr">
        <is>
          <t>FO-7</t>
        </is>
      </c>
      <c r="G23" s="2" t="inlineStr">
        <is>
          <t>Acabado</t>
        </is>
      </c>
      <c r="H23" s="4" t="n">
        <v>49769</v>
      </c>
      <c r="I23" s="5" t="n">
        <v>0.09</v>
      </c>
      <c r="J23" s="4" t="n">
        <v>4479.21</v>
      </c>
      <c r="K23" s="2" t="inlineStr">
        <is>
          <t>costo_recurso_AC = importe_recurso * porcentaje_inductor_recurso_AC</t>
        </is>
      </c>
      <c r="L23" s="2" t="inlineStr">
        <is>
          <t>Cherres Juárez (2010), Un caso de aplicación del sistema ABC en una empresa peruana: Frenosa, Contabilidad y Negocios, PUCP</t>
        </is>
      </c>
      <c r="M23" s="2" t="inlineStr">
        <is>
          <t>Peso de inductor. El sistema debe calcular importe recurso × porcentaje.</t>
        </is>
      </c>
    </row>
    <row r="24">
      <c r="A24" s="2" t="n">
        <v>4</v>
      </c>
      <c r="B24" s="4" t="inlineStr">
        <is>
          <t>EC004</t>
        </is>
      </c>
      <c r="C24" s="2" t="inlineStr">
        <is>
          <t>REC004</t>
        </is>
      </c>
      <c r="D24" s="2" t="inlineStr">
        <is>
          <t>No operacionales</t>
        </is>
      </c>
      <c r="E24" s="2" t="inlineStr">
        <is>
          <t>AC001</t>
        </is>
      </c>
      <c r="F24" s="2" t="inlineStr">
        <is>
          <t>FO-1</t>
        </is>
      </c>
      <c r="G24" s="2" t="inlineStr">
        <is>
          <t>Impregnación</t>
        </is>
      </c>
      <c r="H24" s="4" t="n">
        <v>2829</v>
      </c>
      <c r="I24" s="5" t="n">
        <v>0.25</v>
      </c>
      <c r="J24" s="4" t="n">
        <v>707.25</v>
      </c>
      <c r="K24" s="2" t="inlineStr">
        <is>
          <t>costo_recurso_AC = importe_recurso * porcentaje_inductor_recurso_AC</t>
        </is>
      </c>
      <c r="L24" s="2" t="inlineStr">
        <is>
          <t>Cherres Juárez (2010), Un caso de aplicación del sistema ABC en una empresa peruana: Frenosa, Contabilidad y Negocios, PUCP</t>
        </is>
      </c>
      <c r="M24" s="2" t="inlineStr">
        <is>
          <t>Peso de inductor. El sistema debe calcular importe recurso × porcentaje.</t>
        </is>
      </c>
    </row>
    <row r="25">
      <c r="A25" s="2" t="n">
        <v>4</v>
      </c>
      <c r="B25" s="4" t="inlineStr">
        <is>
          <t>EC004</t>
        </is>
      </c>
      <c r="C25" s="2" t="inlineStr">
        <is>
          <t>REC004</t>
        </is>
      </c>
      <c r="D25" s="2" t="inlineStr">
        <is>
          <t>No operacionales</t>
        </is>
      </c>
      <c r="E25" s="2" t="inlineStr">
        <is>
          <t>AC002</t>
        </is>
      </c>
      <c r="F25" s="2" t="inlineStr">
        <is>
          <t>FO-2</t>
        </is>
      </c>
      <c r="G25" s="2" t="inlineStr">
        <is>
          <t>Enrollado</t>
        </is>
      </c>
      <c r="H25" s="4" t="n">
        <v>2829</v>
      </c>
      <c r="I25" s="5" t="n">
        <v>0.14</v>
      </c>
      <c r="J25" s="4" t="n">
        <v>396.0600000000001</v>
      </c>
      <c r="K25" s="2" t="inlineStr">
        <is>
          <t>costo_recurso_AC = importe_recurso * porcentaje_inductor_recurso_AC</t>
        </is>
      </c>
      <c r="L25" s="2" t="inlineStr">
        <is>
          <t>Cherres Juárez (2010), Un caso de aplicación del sistema ABC en una empresa peruana: Frenosa, Contabilidad y Negocios, PUCP</t>
        </is>
      </c>
      <c r="M25" s="2" t="inlineStr">
        <is>
          <t>Peso de inductor. El sistema debe calcular importe recurso × porcentaje.</t>
        </is>
      </c>
    </row>
    <row r="26">
      <c r="A26" s="2" t="n">
        <v>4</v>
      </c>
      <c r="B26" s="4" t="inlineStr">
        <is>
          <t>EC004</t>
        </is>
      </c>
      <c r="C26" s="2" t="inlineStr">
        <is>
          <t>REC004</t>
        </is>
      </c>
      <c r="D26" s="2" t="inlineStr">
        <is>
          <t>No operacionales</t>
        </is>
      </c>
      <c r="E26" s="2" t="inlineStr">
        <is>
          <t>AC003</t>
        </is>
      </c>
      <c r="F26" s="2" t="inlineStr">
        <is>
          <t>FO-3</t>
        </is>
      </c>
      <c r="G26" s="2" t="inlineStr">
        <is>
          <t>Prensado</t>
        </is>
      </c>
      <c r="H26" s="4" t="n">
        <v>2829</v>
      </c>
      <c r="I26" s="5" t="n">
        <v>0.13</v>
      </c>
      <c r="J26" s="4" t="n">
        <v>367.77</v>
      </c>
      <c r="K26" s="2" t="inlineStr">
        <is>
          <t>costo_recurso_AC = importe_recurso * porcentaje_inductor_recurso_AC</t>
        </is>
      </c>
      <c r="L26" s="2" t="inlineStr">
        <is>
          <t>Cherres Juárez (2010), Un caso de aplicación del sistema ABC en una empresa peruana: Frenosa, Contabilidad y Negocios, PUCP</t>
        </is>
      </c>
      <c r="M26" s="2" t="inlineStr">
        <is>
          <t>Peso de inductor. El sistema debe calcular importe recurso × porcentaje.</t>
        </is>
      </c>
    </row>
    <row r="27">
      <c r="A27" s="2" t="n">
        <v>4</v>
      </c>
      <c r="B27" s="4" t="inlineStr">
        <is>
          <t>EC004</t>
        </is>
      </c>
      <c r="C27" s="2" t="inlineStr">
        <is>
          <t>REC004</t>
        </is>
      </c>
      <c r="D27" s="2" t="inlineStr">
        <is>
          <t>No operacionales</t>
        </is>
      </c>
      <c r="E27" s="2" t="inlineStr">
        <is>
          <t>AC004</t>
        </is>
      </c>
      <c r="F27" s="2" t="inlineStr">
        <is>
          <t>FO-4</t>
        </is>
      </c>
      <c r="G27" s="2" t="inlineStr">
        <is>
          <t>Horneado</t>
        </is>
      </c>
      <c r="H27" s="4" t="n">
        <v>2829</v>
      </c>
      <c r="I27" s="5" t="n">
        <v>0.15</v>
      </c>
      <c r="J27" s="4" t="n">
        <v>424.35</v>
      </c>
      <c r="K27" s="2" t="inlineStr">
        <is>
          <t>costo_recurso_AC = importe_recurso * porcentaje_inductor_recurso_AC</t>
        </is>
      </c>
      <c r="L27" s="2" t="inlineStr">
        <is>
          <t>Cherres Juárez (2010), Un caso de aplicación del sistema ABC en una empresa peruana: Frenosa, Contabilidad y Negocios, PUCP</t>
        </is>
      </c>
      <c r="M27" s="2" t="inlineStr">
        <is>
          <t>Peso de inductor. El sistema debe calcular importe recurso × porcentaje.</t>
        </is>
      </c>
    </row>
    <row r="28">
      <c r="A28" s="2" t="n">
        <v>4</v>
      </c>
      <c r="B28" s="4" t="inlineStr">
        <is>
          <t>EC004</t>
        </is>
      </c>
      <c r="C28" s="2" t="inlineStr">
        <is>
          <t>REC004</t>
        </is>
      </c>
      <c r="D28" s="2" t="inlineStr">
        <is>
          <t>No operacionales</t>
        </is>
      </c>
      <c r="E28" s="2" t="inlineStr">
        <is>
          <t>AC005</t>
        </is>
      </c>
      <c r="F28" s="2" t="inlineStr">
        <is>
          <t>FO-5</t>
        </is>
      </c>
      <c r="G28" s="2" t="inlineStr">
        <is>
          <t>Lijado</t>
        </is>
      </c>
      <c r="H28" s="4" t="n">
        <v>2829</v>
      </c>
      <c r="I28" s="5" t="n">
        <v>0.13</v>
      </c>
      <c r="J28" s="4" t="n">
        <v>367.77</v>
      </c>
      <c r="K28" s="2" t="inlineStr">
        <is>
          <t>costo_recurso_AC = importe_recurso * porcentaje_inductor_recurso_AC</t>
        </is>
      </c>
      <c r="L28" s="2" t="inlineStr">
        <is>
          <t>Cherres Juárez (2010), Un caso de aplicación del sistema ABC en una empresa peruana: Frenosa, Contabilidad y Negocios, PUCP</t>
        </is>
      </c>
      <c r="M28" s="2" t="inlineStr">
        <is>
          <t>Peso de inductor. El sistema debe calcular importe recurso × porcentaje.</t>
        </is>
      </c>
    </row>
    <row r="29">
      <c r="A29" s="2" t="n">
        <v>4</v>
      </c>
      <c r="B29" s="4" t="inlineStr">
        <is>
          <t>EC004</t>
        </is>
      </c>
      <c r="C29" s="2" t="inlineStr">
        <is>
          <t>REC004</t>
        </is>
      </c>
      <c r="D29" s="2" t="inlineStr">
        <is>
          <t>No operacionales</t>
        </is>
      </c>
      <c r="E29" s="2" t="inlineStr">
        <is>
          <t>AC006</t>
        </is>
      </c>
      <c r="F29" s="2" t="inlineStr">
        <is>
          <t>FO-6</t>
        </is>
      </c>
      <c r="G29" s="2" t="inlineStr">
        <is>
          <t>Taladrado</t>
        </is>
      </c>
      <c r="H29" s="4" t="n">
        <v>2829</v>
      </c>
      <c r="I29" s="5" t="n">
        <v>0.12</v>
      </c>
      <c r="J29" s="4" t="n">
        <v>339.48</v>
      </c>
      <c r="K29" s="2" t="inlineStr">
        <is>
          <t>costo_recurso_AC = importe_recurso * porcentaje_inductor_recurso_AC</t>
        </is>
      </c>
      <c r="L29" s="2" t="inlineStr">
        <is>
          <t>Cherres Juárez (2010), Un caso de aplicación del sistema ABC en una empresa peruana: Frenosa, Contabilidad y Negocios, PUCP</t>
        </is>
      </c>
      <c r="M29" s="2" t="inlineStr">
        <is>
          <t>Peso de inductor. El sistema debe calcular importe recurso × porcentaje.</t>
        </is>
      </c>
    </row>
    <row r="30">
      <c r="A30" s="2" t="n">
        <v>4</v>
      </c>
      <c r="B30" s="4" t="inlineStr">
        <is>
          <t>EC004</t>
        </is>
      </c>
      <c r="C30" s="2" t="inlineStr">
        <is>
          <t>REC004</t>
        </is>
      </c>
      <c r="D30" s="2" t="inlineStr">
        <is>
          <t>No operacionales</t>
        </is>
      </c>
      <c r="E30" s="2" t="inlineStr">
        <is>
          <t>AC007</t>
        </is>
      </c>
      <c r="F30" s="2" t="inlineStr">
        <is>
          <t>FO-7</t>
        </is>
      </c>
      <c r="G30" s="2" t="inlineStr">
        <is>
          <t>Acabado</t>
        </is>
      </c>
      <c r="H30" s="4" t="n">
        <v>2829</v>
      </c>
      <c r="I30" s="5" t="n">
        <v>0.09</v>
      </c>
      <c r="J30" s="4" t="n">
        <v>254.61</v>
      </c>
      <c r="K30" s="2" t="inlineStr">
        <is>
          <t>costo_recurso_AC = importe_recurso * porcentaje_inductor_recurso_AC</t>
        </is>
      </c>
      <c r="L30" s="2" t="inlineStr">
        <is>
          <t>Cherres Juárez (2010), Un caso de aplicación del sistema ABC en una empresa peruana: Frenosa, Contabilidad y Negocios, PUCP</t>
        </is>
      </c>
      <c r="M30" s="2" t="inlineStr">
        <is>
          <t>Peso de inductor. El sistema debe calcular importe recurso × porcentaje.</t>
        </is>
      </c>
    </row>
    <row r="31">
      <c r="A31" s="2" t="n">
        <v>4</v>
      </c>
      <c r="B31" s="4" t="inlineStr">
        <is>
          <t>EC005</t>
        </is>
      </c>
      <c r="C31" s="2" t="inlineStr">
        <is>
          <t>REC005</t>
        </is>
      </c>
      <c r="D31" s="2" t="inlineStr">
        <is>
          <t>Instalaciones</t>
        </is>
      </c>
      <c r="E31" s="2" t="inlineStr">
        <is>
          <t>AC001</t>
        </is>
      </c>
      <c r="F31" s="2" t="inlineStr">
        <is>
          <t>FO-1</t>
        </is>
      </c>
      <c r="G31" s="2" t="inlineStr">
        <is>
          <t>Impregnación</t>
        </is>
      </c>
      <c r="H31" s="4" t="n">
        <v>25617</v>
      </c>
      <c r="I31" s="5" t="n">
        <v>0.17</v>
      </c>
      <c r="J31" s="4" t="n">
        <v>4354.89</v>
      </c>
      <c r="K31" s="2" t="inlineStr">
        <is>
          <t>costo_recurso_AC = importe_recurso * porcentaje_inductor_recurso_AC</t>
        </is>
      </c>
      <c r="L31" s="2" t="inlineStr">
        <is>
          <t>Cherres Juárez (2010), Un caso de aplicación del sistema ABC en una empresa peruana: Frenosa, Contabilidad y Negocios, PUCP</t>
        </is>
      </c>
      <c r="M31" s="2" t="inlineStr">
        <is>
          <t>Peso de inductor. El sistema debe calcular importe recurso × porcentaje.</t>
        </is>
      </c>
    </row>
    <row r="32">
      <c r="A32" s="2" t="n">
        <v>4</v>
      </c>
      <c r="B32" s="4" t="inlineStr">
        <is>
          <t>EC005</t>
        </is>
      </c>
      <c r="C32" s="2" t="inlineStr">
        <is>
          <t>REC005</t>
        </is>
      </c>
      <c r="D32" s="2" t="inlineStr">
        <is>
          <t>Instalaciones</t>
        </is>
      </c>
      <c r="E32" s="2" t="inlineStr">
        <is>
          <t>AC002</t>
        </is>
      </c>
      <c r="F32" s="2" t="inlineStr">
        <is>
          <t>FO-2</t>
        </is>
      </c>
      <c r="G32" s="2" t="inlineStr">
        <is>
          <t>Enrollado</t>
        </is>
      </c>
      <c r="H32" s="4" t="n">
        <v>25617</v>
      </c>
      <c r="I32" s="5" t="n">
        <v>0.09</v>
      </c>
      <c r="J32" s="4" t="n">
        <v>2305.53</v>
      </c>
      <c r="K32" s="2" t="inlineStr">
        <is>
          <t>costo_recurso_AC = importe_recurso * porcentaje_inductor_recurso_AC</t>
        </is>
      </c>
      <c r="L32" s="2" t="inlineStr">
        <is>
          <t>Cherres Juárez (2010), Un caso de aplicación del sistema ABC en una empresa peruana: Frenosa, Contabilidad y Negocios, PUCP</t>
        </is>
      </c>
      <c r="M32" s="2" t="inlineStr">
        <is>
          <t>Peso de inductor. El sistema debe calcular importe recurso × porcentaje.</t>
        </is>
      </c>
    </row>
    <row r="33">
      <c r="A33" s="2" t="n">
        <v>4</v>
      </c>
      <c r="B33" s="4" t="inlineStr">
        <is>
          <t>EC005</t>
        </is>
      </c>
      <c r="C33" s="2" t="inlineStr">
        <is>
          <t>REC005</t>
        </is>
      </c>
      <c r="D33" s="2" t="inlineStr">
        <is>
          <t>Instalaciones</t>
        </is>
      </c>
      <c r="E33" s="2" t="inlineStr">
        <is>
          <t>AC003</t>
        </is>
      </c>
      <c r="F33" s="2" t="inlineStr">
        <is>
          <t>FO-3</t>
        </is>
      </c>
      <c r="G33" s="2" t="inlineStr">
        <is>
          <t>Prensado</t>
        </is>
      </c>
      <c r="H33" s="4" t="n">
        <v>25617</v>
      </c>
      <c r="I33" s="5" t="n">
        <v>0.16</v>
      </c>
      <c r="J33" s="4" t="n">
        <v>4098.72</v>
      </c>
      <c r="K33" s="2" t="inlineStr">
        <is>
          <t>costo_recurso_AC = importe_recurso * porcentaje_inductor_recurso_AC</t>
        </is>
      </c>
      <c r="L33" s="2" t="inlineStr">
        <is>
          <t>Cherres Juárez (2010), Un caso de aplicación del sistema ABC en una empresa peruana: Frenosa, Contabilidad y Negocios, PUCP</t>
        </is>
      </c>
      <c r="M33" s="2" t="inlineStr">
        <is>
          <t>Peso de inductor. El sistema debe calcular importe recurso × porcentaje.</t>
        </is>
      </c>
    </row>
    <row r="34">
      <c r="A34" s="2" t="n">
        <v>4</v>
      </c>
      <c r="B34" s="4" t="inlineStr">
        <is>
          <t>EC005</t>
        </is>
      </c>
      <c r="C34" s="2" t="inlineStr">
        <is>
          <t>REC005</t>
        </is>
      </c>
      <c r="D34" s="2" t="inlineStr">
        <is>
          <t>Instalaciones</t>
        </is>
      </c>
      <c r="E34" s="2" t="inlineStr">
        <is>
          <t>AC004</t>
        </is>
      </c>
      <c r="F34" s="2" t="inlineStr">
        <is>
          <t>FO-4</t>
        </is>
      </c>
      <c r="G34" s="2" t="inlineStr">
        <is>
          <t>Horneado</t>
        </is>
      </c>
      <c r="H34" s="4" t="n">
        <v>25617</v>
      </c>
      <c r="I34" s="5" t="n">
        <v>0.22</v>
      </c>
      <c r="J34" s="4" t="n">
        <v>5635.74</v>
      </c>
      <c r="K34" s="2" t="inlineStr">
        <is>
          <t>costo_recurso_AC = importe_recurso * porcentaje_inductor_recurso_AC</t>
        </is>
      </c>
      <c r="L34" s="2" t="inlineStr">
        <is>
          <t>Cherres Juárez (2010), Un caso de aplicación del sistema ABC en una empresa peruana: Frenosa, Contabilidad y Negocios, PUCP</t>
        </is>
      </c>
      <c r="M34" s="2" t="inlineStr">
        <is>
          <t>Peso de inductor. El sistema debe calcular importe recurso × porcentaje.</t>
        </is>
      </c>
    </row>
    <row r="35">
      <c r="A35" s="2" t="n">
        <v>4</v>
      </c>
      <c r="B35" s="4" t="inlineStr">
        <is>
          <t>EC005</t>
        </is>
      </c>
      <c r="C35" s="2" t="inlineStr">
        <is>
          <t>REC005</t>
        </is>
      </c>
      <c r="D35" s="2" t="inlineStr">
        <is>
          <t>Instalaciones</t>
        </is>
      </c>
      <c r="E35" s="2" t="inlineStr">
        <is>
          <t>AC005</t>
        </is>
      </c>
      <c r="F35" s="2" t="inlineStr">
        <is>
          <t>FO-5</t>
        </is>
      </c>
      <c r="G35" s="2" t="inlineStr">
        <is>
          <t>Lijado</t>
        </is>
      </c>
      <c r="H35" s="4" t="n">
        <v>25617</v>
      </c>
      <c r="I35" s="5" t="n">
        <v>0.14</v>
      </c>
      <c r="J35" s="4" t="n">
        <v>3586.380000000001</v>
      </c>
      <c r="K35" s="2" t="inlineStr">
        <is>
          <t>costo_recurso_AC = importe_recurso * porcentaje_inductor_recurso_AC</t>
        </is>
      </c>
      <c r="L35" s="2" t="inlineStr">
        <is>
          <t>Cherres Juárez (2010), Un caso de aplicación del sistema ABC en una empresa peruana: Frenosa, Contabilidad y Negocios, PUCP</t>
        </is>
      </c>
      <c r="M35" s="2" t="inlineStr">
        <is>
          <t>Peso de inductor. El sistema debe calcular importe recurso × porcentaje.</t>
        </is>
      </c>
    </row>
    <row r="36">
      <c r="A36" s="2" t="n">
        <v>4</v>
      </c>
      <c r="B36" s="4" t="inlineStr">
        <is>
          <t>EC005</t>
        </is>
      </c>
      <c r="C36" s="2" t="inlineStr">
        <is>
          <t>REC005</t>
        </is>
      </c>
      <c r="D36" s="2" t="inlineStr">
        <is>
          <t>Instalaciones</t>
        </is>
      </c>
      <c r="E36" s="2" t="inlineStr">
        <is>
          <t>AC006</t>
        </is>
      </c>
      <c r="F36" s="2" t="inlineStr">
        <is>
          <t>FO-6</t>
        </is>
      </c>
      <c r="G36" s="2" t="inlineStr">
        <is>
          <t>Taladrado</t>
        </is>
      </c>
      <c r="H36" s="4" t="n">
        <v>25617</v>
      </c>
      <c r="I36" s="5" t="n">
        <v>0.1</v>
      </c>
      <c r="J36" s="4" t="n">
        <v>2561.7</v>
      </c>
      <c r="K36" s="2" t="inlineStr">
        <is>
          <t>costo_recurso_AC = importe_recurso * porcentaje_inductor_recurso_AC</t>
        </is>
      </c>
      <c r="L36" s="2" t="inlineStr">
        <is>
          <t>Cherres Juárez (2010), Un caso de aplicación del sistema ABC en una empresa peruana: Frenosa, Contabilidad y Negocios, PUCP</t>
        </is>
      </c>
      <c r="M36" s="2" t="inlineStr">
        <is>
          <t>Peso de inductor. El sistema debe calcular importe recurso × porcentaje.</t>
        </is>
      </c>
    </row>
    <row r="37">
      <c r="A37" s="2" t="n">
        <v>4</v>
      </c>
      <c r="B37" s="4" t="inlineStr">
        <is>
          <t>EC005</t>
        </is>
      </c>
      <c r="C37" s="2" t="inlineStr">
        <is>
          <t>REC005</t>
        </is>
      </c>
      <c r="D37" s="2" t="inlineStr">
        <is>
          <t>Instalaciones</t>
        </is>
      </c>
      <c r="E37" s="2" t="inlineStr">
        <is>
          <t>AC007</t>
        </is>
      </c>
      <c r="F37" s="2" t="inlineStr">
        <is>
          <t>FO-7</t>
        </is>
      </c>
      <c r="G37" s="2" t="inlineStr">
        <is>
          <t>Acabado</t>
        </is>
      </c>
      <c r="H37" s="4" t="n">
        <v>25617</v>
      </c>
      <c r="I37" s="5" t="n">
        <v>0.11</v>
      </c>
      <c r="J37" s="4" t="n">
        <v>2817.87</v>
      </c>
      <c r="K37" s="2" t="inlineStr">
        <is>
          <t>costo_recurso_AC = importe_recurso * porcentaje_inductor_recurso_AC</t>
        </is>
      </c>
      <c r="L37" s="2" t="inlineStr">
        <is>
          <t>Cherres Juárez (2010), Un caso de aplicación del sistema ABC en una empresa peruana: Frenosa, Contabilidad y Negocios, PUCP</t>
        </is>
      </c>
      <c r="M37" s="2" t="inlineStr">
        <is>
          <t>Peso de inductor. El sistema debe calcular importe recurso × porcentaje.</t>
        </is>
      </c>
    </row>
  </sheetData>
  <autoFilter ref="A1:M37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3" t="inlineStr">
        <is>
          <t>Modulo</t>
        </is>
      </c>
      <c r="B1" s="3" t="inlineStr">
        <is>
          <t>Formula / criterio</t>
        </is>
      </c>
    </row>
    <row r="2">
      <c r="A2" s="2" t="inlineStr">
        <is>
          <t>PD -&gt; AC</t>
        </is>
      </c>
      <c r="B2" s="2" t="inlineStr">
        <is>
          <t>costo_PD_AC = porcentaje_AC * total_PD</t>
        </is>
      </c>
    </row>
    <row r="3">
      <c r="A3" s="2" t="inlineStr">
        <is>
          <t>Otros recursos -&gt; AC</t>
        </is>
      </c>
      <c r="B3" s="2" t="inlineStr">
        <is>
          <t>costo_recurso_AC = importe_recurso * porcentaje_inductor</t>
        </is>
      </c>
    </row>
    <row r="4">
      <c r="A4" s="2" t="inlineStr">
        <is>
          <t>Soporte -&gt; AC</t>
        </is>
      </c>
      <c r="B4" s="2" t="inlineStr">
        <is>
          <t>soporte_AC = mantenimiento_AC + control_calidad_AC + ingenieria_AC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2026-06-24T15:23:51Z</dcterms:created>
  <dcterms:modified xmlns:dcterms="http://purl.org/dc/terms/" xmlns:xsi="http://www.w3.org/2001/XMLSchema-instance" xsi:type="dcterms:W3CDTF">2026-06-24T15:23:51Z</dcterms:modified>
</cp:coreProperties>
</file>