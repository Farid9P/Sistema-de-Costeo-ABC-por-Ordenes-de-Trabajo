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ado_Resultados" sheetId="2" state="visible" r:id="rId2"/>
    <sheet xmlns:r="http://schemas.openxmlformats.org/officeDocument/2006/relationships" name="Formulas" sheetId="3" state="visible" r:id="rId3"/>
  </sheets>
  <definedNames>
    <definedName name="_xlnm._FilterDatabase" localSheetId="1" hidden="1">'Estado_Resultados'!$A$1:$N$5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Margen operativo por 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'Estado_Resultados'!J2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'Estado_Resultados'!$D$3:$D$5</f>
            </numRef>
          </cat>
          <val>
            <numRef>
              <f>'Estado_Resultados'!$J$3:$J$5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codigo_producto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Rentabilidad operativa por 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'Estado_Resultados'!K2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'Estado_Resultados'!$D$3:$D$5</f>
            </numRef>
          </cat>
          <val>
            <numRef>
              <f>'Estado_Resultados'!$K$3:$K$5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codigo_producto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15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19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45" customWidth="1" min="3" max="3"/>
    <col width="33" customWidth="1" min="4" max="4"/>
  </cols>
  <sheetData>
    <row r="1">
      <c r="A1" s="1" t="inlineStr">
        <is>
          <t>Resumen ejecutivo - Estado de resultados</t>
        </is>
      </c>
      <c r="B1" s="2" t="n"/>
      <c r="C1" s="2" t="n"/>
      <c r="D1" s="2" t="n"/>
    </row>
    <row r="2">
      <c r="A2" s="3" t="inlineStr">
        <is>
          <t>Indicador</t>
        </is>
      </c>
      <c r="B2" s="3" t="inlineStr">
        <is>
          <t>Valor</t>
        </is>
      </c>
      <c r="C2" s="3" t="inlineStr">
        <is>
          <t>Interpretacion</t>
        </is>
      </c>
      <c r="D2" s="3" t="inlineStr">
        <is>
          <t>Fuente</t>
        </is>
      </c>
    </row>
    <row r="3">
      <c r="A3" s="2" t="inlineStr">
        <is>
          <t>Ventas netas totales</t>
        </is>
      </c>
      <c r="B3" s="2" t="n">
        <v>888730</v>
      </c>
      <c r="C3" s="2" t="inlineStr">
        <is>
          <t>Valor acumulado de la ejecucion del modelo ABC.</t>
        </is>
      </c>
      <c r="D3" s="2" t="inlineStr">
        <is>
          <t>Calculos generados desde SQLite</t>
        </is>
      </c>
    </row>
    <row r="4">
      <c r="A4" s="2" t="inlineStr">
        <is>
          <t>Margen operativo total</t>
        </is>
      </c>
      <c r="B4" s="2" t="n">
        <v>248453.9236</v>
      </c>
      <c r="C4" s="2" t="inlineStr">
        <is>
          <t>Valor acumulado de la ejecucion del modelo ABC.</t>
        </is>
      </c>
      <c r="D4" s="2" t="inlineStr">
        <is>
          <t>Calculos generados desde SQLite</t>
        </is>
      </c>
    </row>
    <row r="5">
      <c r="A5" s="2" t="inlineStr">
        <is>
          <t>Menor rentabilidad</t>
        </is>
      </c>
      <c r="B5" s="2" t="inlineStr">
        <is>
          <t>FEF0011P_FRE9002 - 19.17%</t>
        </is>
      </c>
      <c r="C5" s="2" t="inlineStr">
        <is>
          <t>Objeto de costo que requiere analisis comercial y operativo.</t>
        </is>
      </c>
      <c r="D5" s="2" t="inlineStr">
        <is>
          <t>Calculos generados desde SQLite</t>
        </is>
      </c>
    </row>
    <row r="6">
      <c r="A6" s="2" t="inlineStr">
        <is>
          <t>Mayor margen operativo</t>
        </is>
      </c>
      <c r="B6" s="2" t="inlineStr">
        <is>
          <t>FEF0014P_SW50 - 115,329.27</t>
        </is>
      </c>
      <c r="C6" s="2" t="inlineStr">
        <is>
          <t>Indicador de control para lectura academica del reporte.</t>
        </is>
      </c>
      <c r="D6" s="2" t="inlineStr">
        <is>
          <t>Calculos generados desde SQLite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7" customWidth="1" min="3" max="3"/>
    <col width="18" customWidth="1" min="4" max="4"/>
    <col width="20" customWidth="1" min="5" max="5"/>
    <col width="23" customWidth="1" min="6" max="6"/>
    <col width="19" customWidth="1" min="7" max="7"/>
    <col width="20" customWidth="1" min="8" max="8"/>
    <col width="20" customWidth="1" min="9" max="9"/>
    <col width="20" customWidth="1" min="10" max="10"/>
    <col width="24" customWidth="1" min="11" max="11"/>
    <col width="45" customWidth="1" min="12" max="12"/>
    <col width="28" customWidth="1" min="13" max="13"/>
    <col width="45" customWidth="1" min="14" max="14"/>
  </cols>
  <sheetData>
    <row r="1">
      <c r="A1" s="1" t="inlineStr">
        <is>
          <t>Estado de resultados por OT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run_id</t>
        </is>
      </c>
      <c r="B2" s="3" t="inlineStr">
        <is>
          <t>ot_id</t>
        </is>
      </c>
      <c r="C2" s="3" t="inlineStr">
        <is>
          <t>objeto_costo_id</t>
        </is>
      </c>
      <c r="D2" s="3" t="inlineStr">
        <is>
          <t>codigo_producto</t>
        </is>
      </c>
      <c r="E2" s="3" t="inlineStr">
        <is>
          <t>ventas_netas_soles</t>
        </is>
      </c>
      <c r="F2" s="3" t="inlineStr">
        <is>
          <t>materia_prima_directa</t>
        </is>
      </c>
      <c r="G2" s="3" t="inlineStr">
        <is>
          <t>costos_conversion</t>
        </is>
      </c>
      <c r="H2" s="3" t="inlineStr">
        <is>
          <t>margen_bruto</t>
        </is>
      </c>
      <c r="I2" s="3" t="inlineStr">
        <is>
          <t>procesos_soporte</t>
        </is>
      </c>
      <c r="J2" s="3" t="inlineStr">
        <is>
          <t>margen_operativo</t>
        </is>
      </c>
      <c r="K2" s="3" t="inlineStr">
        <is>
          <t>rentabilidad_operativa</t>
        </is>
      </c>
      <c r="L2" s="3" t="inlineStr">
        <is>
          <t>formula</t>
        </is>
      </c>
      <c r="M2" s="3" t="inlineStr">
        <is>
          <t>fuente</t>
        </is>
      </c>
      <c r="N2" s="3" t="inlineStr">
        <is>
          <t>observacion</t>
        </is>
      </c>
    </row>
    <row r="3">
      <c r="A3" s="2" t="n">
        <v>4</v>
      </c>
      <c r="B3" s="2" t="inlineStr">
        <is>
          <t>OT001</t>
        </is>
      </c>
      <c r="C3" s="4" t="inlineStr">
        <is>
          <t>OC001</t>
        </is>
      </c>
      <c r="D3" s="2" t="inlineStr">
        <is>
          <t>FEF0014P_SW50</t>
        </is>
      </c>
      <c r="E3" s="4" t="n">
        <v>324479</v>
      </c>
      <c r="F3" s="4" t="n">
        <v>122328.583</v>
      </c>
      <c r="G3" s="4" t="n">
        <v>77031.36900000001</v>
      </c>
      <c r="H3" s="5" t="n">
        <v>125119.048</v>
      </c>
      <c r="I3" s="4" t="n">
        <v>9789.780000000001</v>
      </c>
      <c r="J3" s="5" t="n">
        <v>115329.268</v>
      </c>
      <c r="K3" s="5" t="n">
        <v>0.355429066287803</v>
      </c>
      <c r="L3" s="2" t="inlineStr">
        <is>
          <t>Ventas netas - materia prima directa - costos de conversion = margen bruto; margen bruto - procesos de soporte = margen operativo</t>
        </is>
      </c>
      <c r="M3" s="2" t="inlineStr">
        <is>
          <t>Ventas + hoja de costos OT</t>
        </is>
      </c>
      <c r="N3" s="2" t="inlineStr">
        <is>
          <t>Estado de resultados generado por el sistema.</t>
        </is>
      </c>
    </row>
    <row r="4">
      <c r="A4" s="2" t="n">
        <v>4</v>
      </c>
      <c r="B4" s="2" t="inlineStr">
        <is>
          <t>OT002</t>
        </is>
      </c>
      <c r="C4" s="4" t="inlineStr">
        <is>
          <t>OC002</t>
        </is>
      </c>
      <c r="D4" s="2" t="inlineStr">
        <is>
          <t>FEF0014P_FRE9000</t>
        </is>
      </c>
      <c r="E4" s="4" t="n">
        <v>453602</v>
      </c>
      <c r="F4" s="4" t="n">
        <v>241377.759</v>
      </c>
      <c r="G4" s="4" t="n">
        <v>89014.0264</v>
      </c>
      <c r="H4" s="5" t="n">
        <v>123210.2146</v>
      </c>
      <c r="I4" s="4" t="n">
        <v>11295.9</v>
      </c>
      <c r="J4" s="5" t="n">
        <v>111914.3146</v>
      </c>
      <c r="K4" s="5" t="n">
        <v>0.246723591606739</v>
      </c>
      <c r="L4" s="2" t="inlineStr">
        <is>
          <t>Ventas netas - materia prima directa - costos de conversion = margen bruto; margen bruto - procesos de soporte = margen operativo</t>
        </is>
      </c>
      <c r="M4" s="2" t="inlineStr">
        <is>
          <t>Ventas + hoja de costos OT</t>
        </is>
      </c>
      <c r="N4" s="2" t="inlineStr">
        <is>
          <t>Estado de resultados generado por el sistema.</t>
        </is>
      </c>
    </row>
    <row r="5">
      <c r="A5" s="2" t="n">
        <v>4</v>
      </c>
      <c r="B5" s="2" t="inlineStr">
        <is>
          <t>OT003</t>
        </is>
      </c>
      <c r="C5" s="4" t="inlineStr">
        <is>
          <t>OC003</t>
        </is>
      </c>
      <c r="D5" s="2" t="inlineStr">
        <is>
          <t>FEF0011P_FRE9002</t>
        </is>
      </c>
      <c r="E5" s="4" t="n">
        <v>110649</v>
      </c>
      <c r="F5" s="4" t="n">
        <v>80286.91440000001</v>
      </c>
      <c r="G5" s="4" t="n">
        <v>5135.424599999999</v>
      </c>
      <c r="H5" s="5" t="n">
        <v>25226.66099999999</v>
      </c>
      <c r="I5" s="4" t="n">
        <v>4016.32</v>
      </c>
      <c r="J5" s="5" t="n">
        <v>21210.34099999999</v>
      </c>
      <c r="K5" s="5" t="n">
        <v>0.1916903089951106</v>
      </c>
      <c r="L5" s="2" t="inlineStr">
        <is>
          <t>Ventas netas - materia prima directa - costos de conversion = margen bruto; margen bruto - procesos de soporte = margen operativo</t>
        </is>
      </c>
      <c r="M5" s="2" t="inlineStr">
        <is>
          <t>Ventas + hoja de costos OT</t>
        </is>
      </c>
      <c r="N5" s="2" t="inlineStr">
        <is>
          <t>Estado de resultados generado por el sistema.</t>
        </is>
      </c>
    </row>
  </sheetData>
  <autoFilter ref="A1:N5"/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3" t="inlineStr">
        <is>
          <t>Modulo</t>
        </is>
      </c>
      <c r="B1" s="3" t="inlineStr">
        <is>
          <t>Formula / criterio</t>
        </is>
      </c>
    </row>
    <row r="2">
      <c r="A2" s="2" t="inlineStr">
        <is>
          <t>Estado de resultados</t>
        </is>
      </c>
      <c r="B2" s="2" t="inlineStr">
        <is>
          <t>ventas - materia_prima_directa - costos_conversion = margen_bruto; margen_bruto - soporte = margen_operativo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2026-06-24T15:23:51Z</dcterms:created>
  <dcterms:modified xmlns:dcterms="http://purl.org/dc/terms/" xmlns:xsi="http://www.w3.org/2001/XMLSchema-instance" xsi:type="dcterms:W3CDTF">2026-06-24T15:23:51Z</dcterms:modified>
</cp:coreProperties>
</file>