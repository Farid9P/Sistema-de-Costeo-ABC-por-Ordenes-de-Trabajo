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ja_Costos_OT" sheetId="2" state="visible" r:id="rId2"/>
    <sheet xmlns:r="http://schemas.openxmlformats.org/officeDocument/2006/relationships" name="Formulas" sheetId="3" state="visible" r:id="rId3"/>
  </sheets>
  <definedNames>
    <definedName name="_xlnm._FilterDatabase" localSheetId="1" hidden="1">'Hoja_Costos_OT'!$A$1:$T$5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total por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'Hoja_Costos_OT'!P2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'Hoja_Costos_OT'!$H$3:$H$5</f>
            </numRef>
          </cat>
          <val>
            <numRef>
              <f>'Hoja_Costos_OT'!$P$3:$P$5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del costo por OT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'Hoja_Costos_OT'!J2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'Hoja_Costos_OT'!$H$3:$H$5</f>
            </numRef>
          </cat>
          <val>
            <numRef>
              <f>'Hoja_Costos_OT'!$J$3:$J$5</f>
            </numRef>
          </val>
        </ser>
        <ser>
          <idx val="1"/>
          <order val="1"/>
          <tx>
            <strRef>
              <f>'Hoja_Costos_OT'!M2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'Hoja_Costos_OT'!$H$3:$H$5</f>
            </numRef>
          </cat>
          <val>
            <numRef>
              <f>'Hoja_Costos_OT'!$M$3:$M$5</f>
            </numRef>
          </val>
        </ser>
        <ser>
          <idx val="2"/>
          <order val="2"/>
          <tx>
            <strRef>
              <f>'Hoja_Costos_OT'!N2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'Hoja_Costos_OT'!$H$3:$H$5</f>
            </numRef>
          </cat>
          <val>
            <numRef>
              <f>'Hoja_Costos_OT'!$N$3:$N$5</f>
            </numRef>
          </val>
        </ser>
        <ser>
          <idx val="3"/>
          <order val="3"/>
          <tx>
            <strRef>
              <f>'Hoja_Costos_OT'!O2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'Hoja_Costos_OT'!$H$3:$H$5</f>
            </numRef>
          </cat>
          <val>
            <numRef>
              <f>'Hoja_Costos_OT'!$O$3:$O$5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21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21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45" customWidth="1" min="3" max="3"/>
    <col width="33" customWidth="1" min="4" max="4"/>
  </cols>
  <sheetData>
    <row r="1">
      <c r="A1" s="1" t="inlineStr">
        <is>
          <t>Resumen ejecutivo - Hoja de costos OT</t>
        </is>
      </c>
      <c r="B1" s="2" t="n"/>
      <c r="C1" s="2" t="n"/>
      <c r="D1" s="2" t="n"/>
    </row>
    <row r="2">
      <c r="A2" s="3" t="inlineStr">
        <is>
          <t>Indicador</t>
        </is>
      </c>
      <c r="B2" s="3" t="inlineStr">
        <is>
          <t>Valor</t>
        </is>
      </c>
      <c r="C2" s="3" t="inlineStr">
        <is>
          <t>Interpretacion</t>
        </is>
      </c>
      <c r="D2" s="3" t="inlineStr">
        <is>
          <t>Fuente</t>
        </is>
      </c>
    </row>
    <row r="3">
      <c r="A3" s="2" t="inlineStr">
        <is>
          <t>Costo total OT</t>
        </is>
      </c>
      <c r="B3" s="2" t="n">
        <v>640276.0764</v>
      </c>
      <c r="C3" s="2" t="inlineStr">
        <is>
          <t>Valor acumulado de la ejecucion del modelo ABC.</t>
        </is>
      </c>
      <c r="D3" s="2" t="inlineStr">
        <is>
          <t>Calculos generados desde SQLite</t>
        </is>
      </c>
    </row>
    <row r="4">
      <c r="A4" s="2" t="inlineStr">
        <is>
          <t>Mayor costo por OT</t>
        </is>
      </c>
      <c r="B4" s="2" t="inlineStr">
        <is>
          <t>FEF0014P_FRE9000 - 341,687.69</t>
        </is>
      </c>
      <c r="C4" s="2" t="inlineStr">
        <is>
          <t>Elemento prioritario para revision de eficiencia y uso de inductores.</t>
        </is>
      </c>
      <c r="D4" s="2" t="inlineStr">
        <is>
          <t>Calculos generados desde SQLite</t>
        </is>
      </c>
    </row>
    <row r="5">
      <c r="A5" s="2" t="inlineStr">
        <is>
          <t>Costo unitario promedio</t>
        </is>
      </c>
      <c r="B5" s="2" t="n">
        <v>6.298590970488564</v>
      </c>
      <c r="C5" s="2" t="inlineStr">
        <is>
          <t>Indicador de control para lectura academica del reporte.</t>
        </is>
      </c>
      <c r="D5" s="2" t="inlineStr">
        <is>
          <t>Calculos generados desde SQLite</t>
        </is>
      </c>
    </row>
    <row r="6">
      <c r="A6" s="2" t="inlineStr">
        <is>
          <t>Total soporte asignado</t>
        </is>
      </c>
      <c r="B6" s="2" t="n">
        <v>25102</v>
      </c>
      <c r="C6" s="2" t="inlineStr">
        <is>
          <t>Valor acumulado de la ejecucion del modelo ABC.</t>
        </is>
      </c>
      <c r="D6" s="2" t="inlineStr">
        <is>
          <t>Calculos generados desde SQLite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1" customWidth="1" min="4" max="4"/>
    <col width="10" customWidth="1" min="5" max="5"/>
    <col width="20" customWidth="1" min="6" max="6"/>
    <col width="17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1" customWidth="1" min="13" max="13"/>
    <col width="20" customWidth="1" min="14" max="14"/>
    <col width="10" customWidth="1" min="15" max="15"/>
    <col width="19" customWidth="1" min="16" max="16"/>
    <col width="20" customWidth="1" min="17" max="17"/>
    <col width="45" customWidth="1" min="18" max="18"/>
    <col width="45" customWidth="1" min="19" max="19"/>
    <col width="45" customWidth="1" min="20" max="20"/>
  </cols>
  <sheetData>
    <row r="1">
      <c r="A1" s="1" t="inlineStr">
        <is>
          <t>Hoja de costos por 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run_id</t>
        </is>
      </c>
      <c r="B2" s="3" t="inlineStr">
        <is>
          <t>empresa_id</t>
        </is>
      </c>
      <c r="C2" s="3" t="inlineStr">
        <is>
          <t>periodo_id</t>
        </is>
      </c>
      <c r="D2" s="3" t="inlineStr">
        <is>
          <t>modelo_id</t>
        </is>
      </c>
      <c r="E2" s="3" t="inlineStr">
        <is>
          <t>ot_id</t>
        </is>
      </c>
      <c r="F2" s="3" t="inlineStr">
        <is>
          <t>codigo_ot</t>
        </is>
      </c>
      <c r="G2" s="3" t="inlineStr">
        <is>
          <t>objeto_costo_id</t>
        </is>
      </c>
      <c r="H2" s="3" t="inlineStr">
        <is>
          <t>codigo_producto</t>
        </is>
      </c>
      <c r="I2" s="3" t="inlineStr">
        <is>
          <t>cantidad_producida</t>
        </is>
      </c>
      <c r="J2" s="3" t="inlineStr">
        <is>
          <t>cmd_ot</t>
        </is>
      </c>
      <c r="K2" s="3" t="inlineStr">
        <is>
          <t>mod_ot</t>
        </is>
      </c>
      <c r="L2" s="3" t="inlineStr">
        <is>
          <t>otros_recursos_ot</t>
        </is>
      </c>
      <c r="M2" s="3" t="inlineStr">
        <is>
          <t>costo_produccion_ot</t>
        </is>
      </c>
      <c r="N2" s="3" t="inlineStr">
        <is>
          <t>costo_soporte_ot</t>
        </is>
      </c>
      <c r="O2" s="3" t="inlineStr">
        <is>
          <t>csd_ot</t>
        </is>
      </c>
      <c r="P2" s="3" t="inlineStr">
        <is>
          <t>costo_total_ot</t>
        </is>
      </c>
      <c r="Q2" s="3" t="inlineStr">
        <is>
          <t>costo_unitario_ot</t>
        </is>
      </c>
      <c r="R2" s="3" t="inlineStr">
        <is>
          <t>formula</t>
        </is>
      </c>
      <c r="S2" s="3" t="inlineStr">
        <is>
          <t>fuente</t>
        </is>
      </c>
      <c r="T2" s="3" t="inlineStr">
        <is>
          <t>observacion</t>
        </is>
      </c>
    </row>
    <row r="3">
      <c r="A3" s="2" t="n">
        <v>4</v>
      </c>
      <c r="B3" s="2" t="inlineStr">
        <is>
          <t>EMP001</t>
        </is>
      </c>
      <c r="C3" s="2" t="inlineStr">
        <is>
          <t>PER001</t>
        </is>
      </c>
      <c r="D3" s="2" t="inlineStr">
        <is>
          <t>MOD001</t>
        </is>
      </c>
      <c r="E3" s="2" t="inlineStr">
        <is>
          <t>OT001</t>
        </is>
      </c>
      <c r="F3" s="2" t="inlineStr">
        <is>
          <t>OT-FRENOSA-SW50</t>
        </is>
      </c>
      <c r="G3" s="4" t="inlineStr">
        <is>
          <t>OC001</t>
        </is>
      </c>
      <c r="H3" s="2" t="inlineStr">
        <is>
          <t>FEF0014P_SW50</t>
        </is>
      </c>
      <c r="I3" s="2" t="n">
        <v>38174</v>
      </c>
      <c r="J3" s="4" t="n">
        <v>122328.583</v>
      </c>
      <c r="K3" s="2" t="n">
        <v>35484.75</v>
      </c>
      <c r="L3" s="2" t="n">
        <v>41546.61900000001</v>
      </c>
      <c r="M3" s="4" t="n">
        <v>77031.36900000001</v>
      </c>
      <c r="N3" s="4" t="n">
        <v>9789.780000000001</v>
      </c>
      <c r="O3" s="4" t="n">
        <v>0</v>
      </c>
      <c r="P3" s="4" t="n">
        <v>209149.732</v>
      </c>
      <c r="Q3" s="4" t="n">
        <v>5.478852936553675</v>
      </c>
      <c r="R3" s="2" t="inlineStr">
        <is>
          <t>costo_total_OT = CMD_OT + costo_produccion_OT + costo_soporte_OT + CSD_OT; costo_unitario_OT = costo_total_OT / cantidad_producida_OT</t>
        </is>
      </c>
      <c r="S3" s="2" t="inlineStr">
        <is>
          <t>Datos importados y calculos generados desde SQLite</t>
        </is>
      </c>
      <c r="T3" s="2" t="inlineStr">
        <is>
          <t>Hoja de costos generada por el sistema. Sin datos de servicio directo publicado en la fuente.</t>
        </is>
      </c>
    </row>
    <row r="4">
      <c r="A4" s="2" t="n">
        <v>4</v>
      </c>
      <c r="B4" s="2" t="inlineStr">
        <is>
          <t>EMP001</t>
        </is>
      </c>
      <c r="C4" s="2" t="inlineStr">
        <is>
          <t>PER001</t>
        </is>
      </c>
      <c r="D4" s="2" t="inlineStr">
        <is>
          <t>MOD001</t>
        </is>
      </c>
      <c r="E4" s="2" t="inlineStr">
        <is>
          <t>OT002</t>
        </is>
      </c>
      <c r="F4" s="2" t="inlineStr">
        <is>
          <t>OT-FRENOSA-FRE9000</t>
        </is>
      </c>
      <c r="G4" s="4" t="inlineStr">
        <is>
          <t>OC002</t>
        </is>
      </c>
      <c r="H4" s="2" t="inlineStr">
        <is>
          <t>FEF0014P_FRE9000</t>
        </is>
      </c>
      <c r="I4" s="2" t="n">
        <v>44039</v>
      </c>
      <c r="J4" s="4" t="n">
        <v>241377.759</v>
      </c>
      <c r="K4" s="2" t="n">
        <v>41004.60000000001</v>
      </c>
      <c r="L4" s="2" t="n">
        <v>48009.4264</v>
      </c>
      <c r="M4" s="4" t="n">
        <v>89014.0264</v>
      </c>
      <c r="N4" s="4" t="n">
        <v>11295.9</v>
      </c>
      <c r="O4" s="4" t="n">
        <v>0</v>
      </c>
      <c r="P4" s="4" t="n">
        <v>341687.6854</v>
      </c>
      <c r="Q4" s="4" t="n">
        <v>7.75875213787779</v>
      </c>
      <c r="R4" s="2" t="inlineStr">
        <is>
          <t>costo_total_OT = CMD_OT + costo_produccion_OT + costo_soporte_OT + CSD_OT; costo_unitario_OT = costo_total_OT / cantidad_producida_OT</t>
        </is>
      </c>
      <c r="S4" s="2" t="inlineStr">
        <is>
          <t>Datos importados y calculos generados desde SQLite</t>
        </is>
      </c>
      <c r="T4" s="2" t="inlineStr">
        <is>
          <t>Hoja de costos generada por el sistema. Sin datos de servicio directo publicado en la fuente.</t>
        </is>
      </c>
    </row>
    <row r="5">
      <c r="A5" s="2" t="n">
        <v>4</v>
      </c>
      <c r="B5" s="2" t="inlineStr">
        <is>
          <t>EMP001</t>
        </is>
      </c>
      <c r="C5" s="2" t="inlineStr">
        <is>
          <t>PER001</t>
        </is>
      </c>
      <c r="D5" s="2" t="inlineStr">
        <is>
          <t>MOD001</t>
        </is>
      </c>
      <c r="E5" s="2" t="inlineStr">
        <is>
          <t>OT003</t>
        </is>
      </c>
      <c r="F5" s="2" t="inlineStr">
        <is>
          <t>OT-FRENOSA-FRE9002</t>
        </is>
      </c>
      <c r="G5" s="4" t="inlineStr">
        <is>
          <t>OC003</t>
        </is>
      </c>
      <c r="H5" s="2" t="inlineStr">
        <is>
          <t>FEF0011P_FRE9002</t>
        </is>
      </c>
      <c r="I5" s="2" t="n">
        <v>15807</v>
      </c>
      <c r="J5" s="4" t="n">
        <v>80286.91440000001</v>
      </c>
      <c r="K5" s="2" t="n">
        <v>2365.65</v>
      </c>
      <c r="L5" s="2" t="n">
        <v>2769.7746</v>
      </c>
      <c r="M5" s="4" t="n">
        <v>5135.424599999999</v>
      </c>
      <c r="N5" s="4" t="n">
        <v>4016.32</v>
      </c>
      <c r="O5" s="4" t="n">
        <v>0</v>
      </c>
      <c r="P5" s="4" t="n">
        <v>89438.65900000001</v>
      </c>
      <c r="Q5" s="4" t="n">
        <v>5.658167837034227</v>
      </c>
      <c r="R5" s="2" t="inlineStr">
        <is>
          <t>costo_total_OT = CMD_OT + costo_produccion_OT + costo_soporte_OT + CSD_OT; costo_unitario_OT = costo_total_OT / cantidad_producida_OT</t>
        </is>
      </c>
      <c r="S5" s="2" t="inlineStr">
        <is>
          <t>Datos importados y calculos generados desde SQLite</t>
        </is>
      </c>
      <c r="T5" s="2" t="inlineStr">
        <is>
          <t>Hoja de costos generada por el sistema. Sin datos de servicio directo publicado en la fuente.</t>
        </is>
      </c>
    </row>
  </sheetData>
  <autoFilter ref="A1:T5"/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3" t="inlineStr">
        <is>
          <t>Modulo</t>
        </is>
      </c>
      <c r="B1" s="3" t="inlineStr">
        <is>
          <t>Formula / criterio</t>
        </is>
      </c>
    </row>
    <row r="2">
      <c r="A2" s="2" t="inlineStr">
        <is>
          <t>Hoja de costos</t>
        </is>
      </c>
      <c r="B2" s="2" t="inlineStr">
        <is>
          <t>costo_total_OT = CMD + costo_produccion + costo_soporte + CSD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2026-06-24T15:23:51Z</dcterms:created>
  <dcterms:modified xmlns:dcterms="http://purl.org/dc/terms/" xmlns:xsi="http://www.w3.org/2001/XMLSchema-instance" xsi:type="dcterms:W3CDTF">2026-06-24T15:23:51Z</dcterms:modified>
</cp:coreProperties>
</file>