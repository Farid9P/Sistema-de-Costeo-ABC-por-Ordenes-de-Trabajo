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oja_Costos_OT" sheetId="2" state="visible" r:id="rId2"/>
    <sheet xmlns:r="http://schemas.openxmlformats.org/officeDocument/2006/relationships" name="Estado_Resultados" sheetId="3" state="visible" r:id="rId3"/>
    <sheet xmlns:r="http://schemas.openxmlformats.org/officeDocument/2006/relationships" name="Costos_Actividad" sheetId="4" state="visible" r:id="rId4"/>
    <sheet xmlns:r="http://schemas.openxmlformats.org/officeDocument/2006/relationships" name="Estructura_Costos" sheetId="5" state="visible" r:id="rId5"/>
    <sheet xmlns:r="http://schemas.openxmlformats.org/officeDocument/2006/relationships" name="Alertas" sheetId="6" state="visible" r:id="rId6"/>
    <sheet xmlns:r="http://schemas.openxmlformats.org/officeDocument/2006/relationships" name="Recomendaciones" sheetId="7" state="visible" r:id="rId7"/>
    <sheet xmlns:r="http://schemas.openxmlformats.org/officeDocument/2006/relationships" name="Formulas_Dashboard" sheetId="8" state="visible" r:id="rId8"/>
    <sheet xmlns:r="http://schemas.openxmlformats.org/officeDocument/2006/relationships" name="Periodo" sheetId="9" state="visible" r:id="rId9"/>
  </sheets>
  <definedNames>
    <definedName name="_xlnm._FilterDatabase" localSheetId="1" hidden="1">'Hoja_Costos_OT'!$A$1:$T$5</definedName>
    <definedName name="_xlnm._FilterDatabase" localSheetId="2" hidden="1">'Estado_Resultados'!$A$1:$N$5</definedName>
    <definedName name="_xlnm._FilterDatabase" localSheetId="3" hidden="1">'Costos_Actividad'!$A$1:$L$9</definedName>
    <definedName name="_xlnm._FilterDatabase" localSheetId="4" hidden="1">'Estructura_Costos'!$A$1:$H$14</definedName>
    <definedName name="_xlnm._FilterDatabase" localSheetId="5" hidden="1">'Alertas'!$A$1:$G$4</definedName>
    <definedName name="_xlnm._FilterDatabase" localSheetId="6" hidden="1">'Recomendaciones'!$A$1:$E$6</definedName>
    <definedName name="_xlnm._FilterDatabase" localSheetId="7" hidden="1">'Formulas_Dashboard'!$A$1:$D$10</definedName>
    <definedName name="_xlnm._FilterDatabase" localSheetId="8" hidden="1">'Periodo'!$A$1:$E$3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0F172A"/>
    </font>
    <font>
      <b val="1"/>
      <color rgb="00FFFFFF"/>
      <sz val="11"/>
    </font>
    <font>
      <b val="1"/>
      <color rgb="00FFFFFF"/>
      <sz val="12"/>
    </font>
    <font>
      <b val="1"/>
      <color rgb="000F172A"/>
    </font>
    <font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F4D78"/>
      </patternFill>
    </fill>
    <fill>
      <patternFill patternType="solid">
        <fgColor rgb="002E74B5"/>
      </patternFill>
    </fill>
    <fill>
      <patternFill patternType="solid">
        <fgColor rgb="000F766E"/>
      </patternFill>
    </fill>
    <fill>
      <patternFill patternType="solid">
        <fgColor rgb="00D97706"/>
      </patternFill>
    </fill>
    <fill>
      <patternFill patternType="solid">
        <fgColor rgb="007C3AED"/>
      </patternFill>
    </fill>
    <fill>
      <patternFill patternType="solid">
        <fgColor rgb="00E8EEF5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Costo total por OT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'Dashboard'!$A$11:$A$13</f>
            </numRef>
          </cat>
          <val>
            <numRef>
              <f>'Dashboard'!$B$11:$B$13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Estructura de costo por OT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'Dashboard'!C10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'Dashboard'!$A$11:$A$13</f>
            </numRef>
          </cat>
          <val>
            <numRef>
              <f>'Dashboard'!$C$11:$C$13</f>
            </numRef>
          </val>
        </ser>
        <ser>
          <idx val="1"/>
          <order val="1"/>
          <tx>
            <strRef>
              <f>'Dashboard'!D10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'Dashboard'!$A$11:$A$13</f>
            </numRef>
          </cat>
          <val>
            <numRef>
              <f>'Dashboard'!$D$11:$D$13</f>
            </numRef>
          </val>
        </ser>
        <ser>
          <idx val="2"/>
          <order val="2"/>
          <tx>
            <strRef>
              <f>'Dashboard'!E10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'Dashboard'!$A$11:$A$13</f>
            </numRef>
          </cat>
          <val>
            <numRef>
              <f>'Dashboard'!$E$11:$E$13</f>
            </numRef>
          </val>
        </ser>
        <ser>
          <idx val="3"/>
          <order val="3"/>
          <tx>
            <strRef>
              <f>'Dashboard'!F10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'Dashboard'!$A$11:$A$13</f>
            </numRef>
          </cat>
          <val>
            <numRef>
              <f>'Dashboard'!$F$11:$F$13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Rentabilidad operativa por OT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'Dashboard'!$A$11:$A$13</f>
            </numRef>
          </cat>
          <val>
            <numRef>
              <f>'Dashboard'!$H$11:$H$13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Ranking de actividades por costo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'Dashboard'!$A$18:$A$24</f>
            </numRef>
          </cat>
          <val>
            <numRef>
              <f>'Dashboard'!$E$18:$E$24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27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43</row>
      <rowOff>0</rowOff>
    </from>
    <ext cx="46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6" customWidth="1" min="11" max="11"/>
    <col width="36" customWidth="1" min="12" max="12"/>
    <col width="16" customWidth="1" min="13" max="13"/>
    <col width="30" customWidth="1" min="14" max="14"/>
  </cols>
  <sheetData>
    <row r="1">
      <c r="A1" s="1" t="inlineStr">
        <is>
          <t>Reporte Dashboard - Sistema de Costos ABC Frenosa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Modelo ABC por Ordenes de Trabajo | Julio 2010 | Mensual | 2010-07-01 | 2010-07-31 | Datos generados desde SQLite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4" t="inlineStr">
        <is>
          <t>Costo total OT
S/ 640,276.08
Costo acumulado</t>
        </is>
      </c>
      <c r="B4" s="2" t="n"/>
      <c r="C4" s="2" t="n"/>
      <c r="D4" s="5" t="inlineStr">
        <is>
          <t>Costo unitario prom.
S/ 6.30
Promedio por unidad</t>
        </is>
      </c>
      <c r="E4" s="2" t="n"/>
      <c r="F4" s="2" t="n"/>
      <c r="G4" s="6" t="inlineStr">
        <is>
          <t>Ventas netas
S/ 888,730.00
Ingreso total</t>
        </is>
      </c>
      <c r="H4" s="2" t="n"/>
      <c r="I4" s="2" t="n"/>
      <c r="J4" s="7" t="inlineStr">
        <is>
          <t>Rentabilidad prom.
26.46%
Margen operativo</t>
        </is>
      </c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8" t="inlineStr">
        <is>
          <t>Datos para graficos del dashboard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9" t="inlineStr">
        <is>
          <t>Alertas y recomendaciones</t>
        </is>
      </c>
      <c r="K9" s="2" t="n"/>
      <c r="L9" s="2" t="n"/>
      <c r="M9" s="2" t="n"/>
      <c r="N9" s="2" t="n"/>
    </row>
    <row r="10">
      <c r="A10" s="10" t="inlineStr">
        <is>
          <t>OT/Producto</t>
        </is>
      </c>
      <c r="B10" s="10" t="inlineStr">
        <is>
          <t>Costo total</t>
        </is>
      </c>
      <c r="C10" s="10" t="inlineStr">
        <is>
          <t>CMD</t>
        </is>
      </c>
      <c r="D10" s="10" t="inlineStr">
        <is>
          <t>Produccion</t>
        </is>
      </c>
      <c r="E10" s="10" t="inlineStr">
        <is>
          <t>Soporte</t>
        </is>
      </c>
      <c r="F10" s="10" t="inlineStr">
        <is>
          <t>CSD</t>
        </is>
      </c>
      <c r="G10" s="10" t="inlineStr">
        <is>
          <t>Costo unitario</t>
        </is>
      </c>
      <c r="H10" s="10" t="inlineStr">
        <is>
          <t>Rentabilidad</t>
        </is>
      </c>
      <c r="I10" s="10" t="n"/>
      <c r="J10" s="10" t="inlineStr">
        <is>
          <t>Tipo</t>
        </is>
      </c>
      <c r="K10" s="10" t="inlineStr">
        <is>
          <t>Severidad</t>
        </is>
      </c>
      <c r="L10" s="10" t="inlineStr">
        <is>
          <t>Mensaje</t>
        </is>
      </c>
      <c r="M10" s="10" t="inlineStr">
        <is>
          <t>Valor</t>
        </is>
      </c>
      <c r="N10" s="10" t="inlineStr">
        <is>
          <t>Observacion</t>
        </is>
      </c>
    </row>
    <row r="11">
      <c r="A11" s="2" t="inlineStr">
        <is>
          <t>FEF0014P_SW50</t>
        </is>
      </c>
      <c r="B11" s="11" t="n">
        <v>209149.732</v>
      </c>
      <c r="C11" s="11" t="n">
        <v>122328.583</v>
      </c>
      <c r="D11" s="2" t="n">
        <v>77031.36900000001</v>
      </c>
      <c r="E11" s="11" t="n">
        <v>9789.780000000001</v>
      </c>
      <c r="F11" s="11" t="n">
        <v>0</v>
      </c>
      <c r="G11" s="11" t="n">
        <v>5.478852936553675</v>
      </c>
      <c r="H11" s="12" t="n">
        <v>0.355429066287803</v>
      </c>
      <c r="I11" s="2" t="n"/>
      <c r="J11" s="2" t="inlineStr">
        <is>
          <t>Actividad relevante</t>
        </is>
      </c>
      <c r="K11" s="2" t="inlineStr">
        <is>
          <t>Media</t>
        </is>
      </c>
      <c r="L11" s="2" t="inlineStr">
        <is>
          <t>La actividad con mayor costo total es Impregnación.</t>
        </is>
      </c>
      <c r="M11" s="2" t="n">
        <v>44275.3</v>
      </c>
      <c r="N11" s="2" t="inlineStr">
        <is>
          <t>Revisar consumo de MOD, otros recursos y soporte.</t>
        </is>
      </c>
    </row>
    <row r="12">
      <c r="A12" s="2" t="inlineStr">
        <is>
          <t>FEF0014P_FRE9000</t>
        </is>
      </c>
      <c r="B12" s="11" t="n">
        <v>341687.6854</v>
      </c>
      <c r="C12" s="11" t="n">
        <v>241377.759</v>
      </c>
      <c r="D12" s="2" t="n">
        <v>89014.0264</v>
      </c>
      <c r="E12" s="11" t="n">
        <v>11295.9</v>
      </c>
      <c r="F12" s="11" t="n">
        <v>0</v>
      </c>
      <c r="G12" s="11" t="n">
        <v>7.75875213787779</v>
      </c>
      <c r="H12" s="12" t="n">
        <v>0.246723591606739</v>
      </c>
      <c r="I12" s="2" t="n"/>
      <c r="J12" s="2" t="inlineStr">
        <is>
          <t>Rentabilidad</t>
        </is>
      </c>
      <c r="K12" s="2" t="inlineStr">
        <is>
          <t>Alta</t>
        </is>
      </c>
      <c r="L12" s="2" t="inlineStr">
        <is>
          <t>El objeto de costo con menor rentabilidad operativa es FEF0011P_FRE9002.</t>
        </is>
      </c>
      <c r="M12" s="2" t="n">
        <v>0.1916903089951106</v>
      </c>
      <c r="N12" s="2" t="inlineStr">
        <is>
          <t>Evaluar precio, mezcla de costos y actividades de mayor peso.</t>
        </is>
      </c>
    </row>
    <row r="13">
      <c r="A13" s="2" t="inlineStr">
        <is>
          <t>FEF0011P_FRE9002</t>
        </is>
      </c>
      <c r="B13" s="11" t="n">
        <v>89438.65900000001</v>
      </c>
      <c r="C13" s="11" t="n">
        <v>80286.91440000001</v>
      </c>
      <c r="D13" s="2" t="n">
        <v>5135.424599999999</v>
      </c>
      <c r="E13" s="11" t="n">
        <v>4016.32</v>
      </c>
      <c r="F13" s="11" t="n">
        <v>0</v>
      </c>
      <c r="G13" s="11" t="n">
        <v>5.658167837034227</v>
      </c>
      <c r="H13" s="12" t="n">
        <v>0.1916903089951106</v>
      </c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13" t="inlineStr">
        <is>
          <t>Recomendaciones del dashboard</t>
        </is>
      </c>
      <c r="K15" s="2" t="n"/>
      <c r="L15" s="2" t="n"/>
      <c r="M15" s="2" t="n"/>
      <c r="N15" s="2" t="n"/>
    </row>
    <row r="16">
      <c r="A16" s="10" t="inlineStr">
        <is>
          <t>Ranking de actividades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inlineStr">
        <is>
          <t>Prioridad</t>
        </is>
      </c>
      <c r="K16" s="10" t="inlineStr">
        <is>
          <t>Recomendacion</t>
        </is>
      </c>
      <c r="L16" s="10" t="inlineStr">
        <is>
          <t>Sustento</t>
        </is>
      </c>
      <c r="M16" s="10" t="inlineStr">
        <is>
          <t>Impacto esperado</t>
        </is>
      </c>
      <c r="N16" s="10" t="inlineStr">
        <is>
          <t>Accion</t>
        </is>
      </c>
    </row>
    <row r="17">
      <c r="A17" s="10" t="inlineStr">
        <is>
          <t>Actividad</t>
        </is>
      </c>
      <c r="B17" s="10" t="inlineStr">
        <is>
          <t>MOD</t>
        </is>
      </c>
      <c r="C17" s="10" t="inlineStr">
        <is>
          <t>Otros recursos</t>
        </is>
      </c>
      <c r="D17" s="10" t="inlineStr">
        <is>
          <t>Soporte</t>
        </is>
      </c>
      <c r="E17" s="10" t="inlineStr">
        <is>
          <t>Costo total</t>
        </is>
      </c>
      <c r="F17" s="10" t="n"/>
      <c r="G17" s="10" t="n"/>
      <c r="H17" s="10" t="n"/>
      <c r="I17" s="10" t="n"/>
      <c r="J17" s="10" t="inlineStr">
        <is>
          <t>Alta</t>
        </is>
      </c>
      <c r="K17" s="10" t="inlineStr">
        <is>
          <t>Revisar actividad Impregnación</t>
        </is>
      </c>
      <c r="L17" s="10" t="inlineStr">
        <is>
          <t>Concentra 22.56% del costo total de actividades.</t>
        </is>
      </c>
      <c r="M17" s="10" t="inlineStr">
        <is>
          <t>Reduccion de costos de conversion y soporte.</t>
        </is>
      </c>
      <c r="N17" s="10" t="inlineStr">
        <is>
          <t>Validar tiempos, recursos consumidos e inductores EC-AC.</t>
        </is>
      </c>
    </row>
    <row r="18">
      <c r="A18" s="2" t="inlineStr">
        <is>
          <t>Impregnación</t>
        </is>
      </c>
      <c r="B18" s="2" t="n">
        <v>20709</v>
      </c>
      <c r="C18" s="2" t="n">
        <v>19699.58</v>
      </c>
      <c r="D18" s="11" t="n">
        <v>3866.72</v>
      </c>
      <c r="E18" s="11" t="n">
        <v>44275.3</v>
      </c>
      <c r="F18" s="2" t="n"/>
      <c r="G18" s="2" t="n"/>
      <c r="H18" s="2" t="n"/>
      <c r="I18" s="2" t="n"/>
      <c r="J18" s="2" t="inlineStr">
        <is>
          <t>Alta</t>
        </is>
      </c>
      <c r="K18" s="2" t="inlineStr">
        <is>
          <t>Analizar rentabilidad de FEF0011P_FRE9002</t>
        </is>
      </c>
      <c r="L18" s="2" t="inlineStr">
        <is>
          <t>Menor rentabilidad operativa: 19.17%.</t>
        </is>
      </c>
      <c r="M18" s="2" t="inlineStr">
        <is>
          <t>Mejor decision comercial y de mezcla de productos.</t>
        </is>
      </c>
      <c r="N18" s="2" t="inlineStr">
        <is>
          <t>Revisar precio, consumo de actividades y margen operativo.</t>
        </is>
      </c>
    </row>
    <row r="19">
      <c r="A19" s="2" t="inlineStr">
        <is>
          <t>Horneado</t>
        </is>
      </c>
      <c r="B19" s="2" t="n">
        <v>21506</v>
      </c>
      <c r="C19" s="2" t="n">
        <v>15844.38</v>
      </c>
      <c r="D19" s="11" t="n">
        <v>3582.08</v>
      </c>
      <c r="E19" s="11" t="n">
        <v>40932.46</v>
      </c>
      <c r="F19" s="2" t="n"/>
      <c r="G19" s="2" t="n"/>
      <c r="H19" s="2" t="n"/>
      <c r="I19" s="2" t="n"/>
      <c r="J19" s="2" t="inlineStr">
        <is>
          <t>Media</t>
        </is>
      </c>
      <c r="K19" s="2" t="inlineStr">
        <is>
          <t>Evaluar estructura de costo de FEF0014P_FRE9000</t>
        </is>
      </c>
      <c r="L19" s="2" t="inlineStr">
        <is>
          <t>Componente dominante: CMD (70.64% del total).</t>
        </is>
      </c>
      <c r="M19" s="2" t="inlineStr">
        <is>
          <t>Mejor control del componente mas relevante del costo.</t>
        </is>
      </c>
      <c r="N19" s="2" t="inlineStr">
        <is>
          <t>Contrastar costo directo, conversion y soporte con fuentes importadas.</t>
        </is>
      </c>
    </row>
    <row r="20">
      <c r="A20" s="2" t="inlineStr">
        <is>
          <t>Prensado</t>
        </is>
      </c>
      <c r="B20" s="2" t="n">
        <v>13541</v>
      </c>
      <c r="C20" s="2" t="n">
        <v>15053.06</v>
      </c>
      <c r="D20" s="11" t="n">
        <v>6166.88</v>
      </c>
      <c r="E20" s="11" t="n">
        <v>34760.94</v>
      </c>
      <c r="F20" s="2" t="n"/>
      <c r="G20" s="2" t="n"/>
      <c r="H20" s="2" t="n"/>
      <c r="I20" s="2" t="n"/>
      <c r="J20" s="2" t="inlineStr">
        <is>
          <t>Baja</t>
        </is>
      </c>
      <c r="K20" s="2" t="inlineStr">
        <is>
          <t>Mantener CSD documentado en cero</t>
        </is>
      </c>
      <c r="L20" s="2" t="inlineStr">
        <is>
          <t>El Excel maestro no registra servicios directos publicados.</t>
        </is>
      </c>
      <c r="M20" s="2" t="inlineStr">
        <is>
          <t>Evitar supuestos no sustentados en la monografia.</t>
        </is>
      </c>
      <c r="N20" s="2" t="inlineStr">
        <is>
          <t>Actualizar solo si existe fuente real de servicios directos.</t>
        </is>
      </c>
    </row>
    <row r="21">
      <c r="A21" s="2" t="inlineStr">
        <is>
          <t>Lijado</t>
        </is>
      </c>
      <c r="B21" s="2" t="n">
        <v>3186</v>
      </c>
      <c r="C21" s="2" t="n">
        <v>11743.7</v>
      </c>
      <c r="D21" s="11" t="n">
        <v>6622.76</v>
      </c>
      <c r="E21" s="11" t="n">
        <v>21552.46</v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inlineStr">
        <is>
          <t>Taladrado</t>
        </is>
      </c>
      <c r="B22" s="2" t="n">
        <v>7965</v>
      </c>
      <c r="C22" s="2" t="n">
        <v>9865.08</v>
      </c>
      <c r="D22" s="11" t="n">
        <v>2481.4</v>
      </c>
      <c r="E22" s="11" t="n">
        <v>20311.48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Enrollado</t>
        </is>
      </c>
      <c r="B23" s="2" t="n">
        <v>6372</v>
      </c>
      <c r="C23" s="2" t="n">
        <v>11494.72</v>
      </c>
      <c r="D23" s="11" t="n">
        <v>1299.04</v>
      </c>
      <c r="E23" s="11" t="n">
        <v>19165.76</v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Acabado</t>
        </is>
      </c>
      <c r="B24" s="2" t="n">
        <v>5576</v>
      </c>
      <c r="C24" s="2" t="n">
        <v>8625.299999999999</v>
      </c>
      <c r="D24" s="11" t="n">
        <v>1083.12</v>
      </c>
      <c r="E24" s="11" t="n">
        <v>15284.42</v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</sheetData>
  <mergeCells count="10">
    <mergeCell ref="A9:H9"/>
    <mergeCell ref="J9:N9"/>
    <mergeCell ref="A16:E16"/>
    <mergeCell ref="G4:I6"/>
    <mergeCell ref="J15:N15"/>
    <mergeCell ref="J4:L6"/>
    <mergeCell ref="A2:N2"/>
    <mergeCell ref="A4:C6"/>
    <mergeCell ref="D4:F6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1" customWidth="1" min="4" max="4"/>
    <col width="10" customWidth="1" min="5" max="5"/>
    <col width="20" customWidth="1" min="6" max="6"/>
    <col width="17" customWidth="1" min="7" max="7"/>
    <col width="18" customWidth="1" min="8" max="8"/>
    <col width="20" customWidth="1" min="9" max="9"/>
    <col width="19" customWidth="1" min="10" max="10"/>
    <col width="20" customWidth="1" min="11" max="11"/>
    <col width="20" customWidth="1" min="12" max="12"/>
    <col width="21" customWidth="1" min="13" max="13"/>
    <col width="20" customWidth="1" min="14" max="14"/>
    <col width="10" customWidth="1" min="15" max="15"/>
    <col width="19" customWidth="1" min="16" max="16"/>
    <col width="20" customWidth="1" min="17" max="17"/>
    <col width="44" customWidth="1" min="18" max="18"/>
    <col width="44" customWidth="1" min="19" max="19"/>
    <col width="44" customWidth="1" min="20" max="20"/>
  </cols>
  <sheetData>
    <row r="1">
      <c r="A1" s="14" t="inlineStr">
        <is>
          <t>Detalle completo - Hoja de costos OT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>
      <c r="A2" s="10" t="inlineStr">
        <is>
          <t>run_id</t>
        </is>
      </c>
      <c r="B2" s="10" t="inlineStr">
        <is>
          <t>empresa_id</t>
        </is>
      </c>
      <c r="C2" s="10" t="inlineStr">
        <is>
          <t>periodo_id</t>
        </is>
      </c>
      <c r="D2" s="10" t="inlineStr">
        <is>
          <t>modelo_id</t>
        </is>
      </c>
      <c r="E2" s="10" t="inlineStr">
        <is>
          <t>ot_id</t>
        </is>
      </c>
      <c r="F2" s="10" t="inlineStr">
        <is>
          <t>codigo_ot</t>
        </is>
      </c>
      <c r="G2" s="10" t="inlineStr">
        <is>
          <t>objeto_costo_id</t>
        </is>
      </c>
      <c r="H2" s="10" t="inlineStr">
        <is>
          <t>codigo_producto</t>
        </is>
      </c>
      <c r="I2" s="10" t="inlineStr">
        <is>
          <t>cantidad_producida</t>
        </is>
      </c>
      <c r="J2" s="10" t="inlineStr">
        <is>
          <t>cmd_ot</t>
        </is>
      </c>
      <c r="K2" s="10" t="inlineStr">
        <is>
          <t>mod_ot</t>
        </is>
      </c>
      <c r="L2" s="10" t="inlineStr">
        <is>
          <t>otros_recursos_ot</t>
        </is>
      </c>
      <c r="M2" s="10" t="inlineStr">
        <is>
          <t>costo_produccion_ot</t>
        </is>
      </c>
      <c r="N2" s="10" t="inlineStr">
        <is>
          <t>costo_soporte_ot</t>
        </is>
      </c>
      <c r="O2" s="10" t="inlineStr">
        <is>
          <t>csd_ot</t>
        </is>
      </c>
      <c r="P2" s="10" t="inlineStr">
        <is>
          <t>costo_total_ot</t>
        </is>
      </c>
      <c r="Q2" s="10" t="inlineStr">
        <is>
          <t>costo_unitario_ot</t>
        </is>
      </c>
      <c r="R2" s="10" t="inlineStr">
        <is>
          <t>formula</t>
        </is>
      </c>
      <c r="S2" s="10" t="inlineStr">
        <is>
          <t>fuente</t>
        </is>
      </c>
      <c r="T2" s="10" t="inlineStr">
        <is>
          <t>observacion</t>
        </is>
      </c>
    </row>
    <row r="3">
      <c r="A3" s="2" t="n">
        <v>72</v>
      </c>
      <c r="B3" s="2" t="inlineStr">
        <is>
          <t>EMP001</t>
        </is>
      </c>
      <c r="C3" s="2" t="inlineStr">
        <is>
          <t>PER001</t>
        </is>
      </c>
      <c r="D3" s="2" t="inlineStr">
        <is>
          <t>MOD001</t>
        </is>
      </c>
      <c r="E3" s="2" t="inlineStr">
        <is>
          <t>OT001</t>
        </is>
      </c>
      <c r="F3" s="2" t="inlineStr">
        <is>
          <t>OT-FRENOSA-SW50</t>
        </is>
      </c>
      <c r="G3" s="11" t="inlineStr">
        <is>
          <t>OC001</t>
        </is>
      </c>
      <c r="H3" s="2" t="inlineStr">
        <is>
          <t>FEF0014P_SW50</t>
        </is>
      </c>
      <c r="I3" s="2" t="n">
        <v>38174</v>
      </c>
      <c r="J3" s="11" t="n">
        <v>122328.583</v>
      </c>
      <c r="K3" s="2" t="n">
        <v>35484.75</v>
      </c>
      <c r="L3" s="2" t="n">
        <v>41546.61900000001</v>
      </c>
      <c r="M3" s="11" t="n">
        <v>77031.36900000001</v>
      </c>
      <c r="N3" s="11" t="n">
        <v>9789.780000000001</v>
      </c>
      <c r="O3" s="11" t="n">
        <v>0</v>
      </c>
      <c r="P3" s="11" t="n">
        <v>209149.732</v>
      </c>
      <c r="Q3" s="11" t="n">
        <v>5.478852936553675</v>
      </c>
      <c r="R3" s="2" t="inlineStr">
        <is>
          <t>costo_total_OT = CMD_OT + costo_produccion_OT + costo_soporte_OT + CSD_OT; costo_unitario_OT = costo_total_OT / cantidad_producida_OT</t>
        </is>
      </c>
      <c r="S3" s="2" t="inlineStr">
        <is>
          <t>Datos importados y calculos generados desde SQLite</t>
        </is>
      </c>
      <c r="T3" s="2" t="inlineStr">
        <is>
          <t>Hoja de costos generada por el sistema. Sin datos de servicio directo publicado en la fuente.</t>
        </is>
      </c>
    </row>
    <row r="4">
      <c r="A4" s="2" t="n">
        <v>72</v>
      </c>
      <c r="B4" s="2" t="inlineStr">
        <is>
          <t>EMP001</t>
        </is>
      </c>
      <c r="C4" s="2" t="inlineStr">
        <is>
          <t>PER001</t>
        </is>
      </c>
      <c r="D4" s="2" t="inlineStr">
        <is>
          <t>MOD001</t>
        </is>
      </c>
      <c r="E4" s="2" t="inlineStr">
        <is>
          <t>OT002</t>
        </is>
      </c>
      <c r="F4" s="2" t="inlineStr">
        <is>
          <t>OT-FRENOSA-FRE9000</t>
        </is>
      </c>
      <c r="G4" s="11" t="inlineStr">
        <is>
          <t>OC002</t>
        </is>
      </c>
      <c r="H4" s="2" t="inlineStr">
        <is>
          <t>FEF0014P_FRE9000</t>
        </is>
      </c>
      <c r="I4" s="2" t="n">
        <v>44039</v>
      </c>
      <c r="J4" s="11" t="n">
        <v>241377.759</v>
      </c>
      <c r="K4" s="2" t="n">
        <v>41004.60000000001</v>
      </c>
      <c r="L4" s="2" t="n">
        <v>48009.4264</v>
      </c>
      <c r="M4" s="11" t="n">
        <v>89014.0264</v>
      </c>
      <c r="N4" s="11" t="n">
        <v>11295.9</v>
      </c>
      <c r="O4" s="11" t="n">
        <v>0</v>
      </c>
      <c r="P4" s="11" t="n">
        <v>341687.6854</v>
      </c>
      <c r="Q4" s="11" t="n">
        <v>7.75875213787779</v>
      </c>
      <c r="R4" s="2" t="inlineStr">
        <is>
          <t>costo_total_OT = CMD_OT + costo_produccion_OT + costo_soporte_OT + CSD_OT; costo_unitario_OT = costo_total_OT / cantidad_producida_OT</t>
        </is>
      </c>
      <c r="S4" s="2" t="inlineStr">
        <is>
          <t>Datos importados y calculos generados desde SQLite</t>
        </is>
      </c>
      <c r="T4" s="2" t="inlineStr">
        <is>
          <t>Hoja de costos generada por el sistema. Sin datos de servicio directo publicado en la fuente.</t>
        </is>
      </c>
    </row>
    <row r="5">
      <c r="A5" s="2" t="n">
        <v>72</v>
      </c>
      <c r="B5" s="2" t="inlineStr">
        <is>
          <t>EMP001</t>
        </is>
      </c>
      <c r="C5" s="2" t="inlineStr">
        <is>
          <t>PER001</t>
        </is>
      </c>
      <c r="D5" s="2" t="inlineStr">
        <is>
          <t>MOD001</t>
        </is>
      </c>
      <c r="E5" s="2" t="inlineStr">
        <is>
          <t>OT003</t>
        </is>
      </c>
      <c r="F5" s="2" t="inlineStr">
        <is>
          <t>OT-FRENOSA-FRE9002</t>
        </is>
      </c>
      <c r="G5" s="11" t="inlineStr">
        <is>
          <t>OC003</t>
        </is>
      </c>
      <c r="H5" s="2" t="inlineStr">
        <is>
          <t>FEF0011P_FRE9002</t>
        </is>
      </c>
      <c r="I5" s="2" t="n">
        <v>15807</v>
      </c>
      <c r="J5" s="11" t="n">
        <v>80286.91440000001</v>
      </c>
      <c r="K5" s="2" t="n">
        <v>2365.65</v>
      </c>
      <c r="L5" s="2" t="n">
        <v>2769.7746</v>
      </c>
      <c r="M5" s="11" t="n">
        <v>5135.424599999999</v>
      </c>
      <c r="N5" s="11" t="n">
        <v>4016.32</v>
      </c>
      <c r="O5" s="11" t="n">
        <v>0</v>
      </c>
      <c r="P5" s="11" t="n">
        <v>89438.65900000001</v>
      </c>
      <c r="Q5" s="11" t="n">
        <v>5.658167837034227</v>
      </c>
      <c r="R5" s="2" t="inlineStr">
        <is>
          <t>costo_total_OT = CMD_OT + costo_produccion_OT + costo_soporte_OT + CSD_OT; costo_unitario_OT = costo_total_OT / cantidad_producida_OT</t>
        </is>
      </c>
      <c r="S5" s="2" t="inlineStr">
        <is>
          <t>Datos importados y calculos generados desde SQLite</t>
        </is>
      </c>
      <c r="T5" s="2" t="inlineStr">
        <is>
          <t>Hoja de costos generada por el sistema. Sin datos de servicio directo publicado en la fuente.</t>
        </is>
      </c>
    </row>
  </sheetData>
  <autoFilter ref="A1:T5"/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7" customWidth="1" min="3" max="3"/>
    <col width="18" customWidth="1" min="4" max="4"/>
    <col width="20" customWidth="1" min="5" max="5"/>
    <col width="23" customWidth="1" min="6" max="6"/>
    <col width="19" customWidth="1" min="7" max="7"/>
    <col width="20" customWidth="1" min="8" max="8"/>
    <col width="20" customWidth="1" min="9" max="9"/>
    <col width="20" customWidth="1" min="10" max="10"/>
    <col width="24" customWidth="1" min="11" max="11"/>
    <col width="44" customWidth="1" min="12" max="12"/>
    <col width="28" customWidth="1" min="13" max="13"/>
    <col width="44" customWidth="1" min="14" max="14"/>
  </cols>
  <sheetData>
    <row r="1">
      <c r="A1" s="14" t="inlineStr">
        <is>
          <t>Detalle completo - Estado de resultados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0" t="inlineStr">
        <is>
          <t>run_id</t>
        </is>
      </c>
      <c r="B2" s="10" t="inlineStr">
        <is>
          <t>ot_id</t>
        </is>
      </c>
      <c r="C2" s="10" t="inlineStr">
        <is>
          <t>objeto_costo_id</t>
        </is>
      </c>
      <c r="D2" s="10" t="inlineStr">
        <is>
          <t>codigo_producto</t>
        </is>
      </c>
      <c r="E2" s="10" t="inlineStr">
        <is>
          <t>ventas_netas_soles</t>
        </is>
      </c>
      <c r="F2" s="10" t="inlineStr">
        <is>
          <t>materia_prima_directa</t>
        </is>
      </c>
      <c r="G2" s="10" t="inlineStr">
        <is>
          <t>costos_conversion</t>
        </is>
      </c>
      <c r="H2" s="10" t="inlineStr">
        <is>
          <t>margen_bruto</t>
        </is>
      </c>
      <c r="I2" s="10" t="inlineStr">
        <is>
          <t>procesos_soporte</t>
        </is>
      </c>
      <c r="J2" s="10" t="inlineStr">
        <is>
          <t>margen_operativo</t>
        </is>
      </c>
      <c r="K2" s="10" t="inlineStr">
        <is>
          <t>rentabilidad_operativa</t>
        </is>
      </c>
      <c r="L2" s="10" t="inlineStr">
        <is>
          <t>formula</t>
        </is>
      </c>
      <c r="M2" s="10" t="inlineStr">
        <is>
          <t>fuente</t>
        </is>
      </c>
      <c r="N2" s="10" t="inlineStr">
        <is>
          <t>observacion</t>
        </is>
      </c>
    </row>
    <row r="3">
      <c r="A3" s="2" t="n">
        <v>72</v>
      </c>
      <c r="B3" s="2" t="inlineStr">
        <is>
          <t>OT001</t>
        </is>
      </c>
      <c r="C3" s="11" t="inlineStr">
        <is>
          <t>OC001</t>
        </is>
      </c>
      <c r="D3" s="2" t="inlineStr">
        <is>
          <t>FEF0014P_SW50</t>
        </is>
      </c>
      <c r="E3" s="11" t="n">
        <v>324479</v>
      </c>
      <c r="F3" s="11" t="n">
        <v>122328.583</v>
      </c>
      <c r="G3" s="11" t="n">
        <v>77031.36900000001</v>
      </c>
      <c r="H3" s="12" t="n">
        <v>125119.048</v>
      </c>
      <c r="I3" s="11" t="n">
        <v>9789.780000000001</v>
      </c>
      <c r="J3" s="12" t="n">
        <v>115329.268</v>
      </c>
      <c r="K3" s="12" t="n">
        <v>0.355429066287803</v>
      </c>
      <c r="L3" s="2" t="inlineStr">
        <is>
          <t>Ventas netas - materia prima directa - costos de conversion = margen bruto; margen bruto - procesos de soporte = margen operativo</t>
        </is>
      </c>
      <c r="M3" s="2" t="inlineStr">
        <is>
          <t>Ventas + hoja de costos OT</t>
        </is>
      </c>
      <c r="N3" s="2" t="inlineStr">
        <is>
          <t>Estado de resultados generado por el sistema.</t>
        </is>
      </c>
    </row>
    <row r="4">
      <c r="A4" s="2" t="n">
        <v>72</v>
      </c>
      <c r="B4" s="2" t="inlineStr">
        <is>
          <t>OT002</t>
        </is>
      </c>
      <c r="C4" s="11" t="inlineStr">
        <is>
          <t>OC002</t>
        </is>
      </c>
      <c r="D4" s="2" t="inlineStr">
        <is>
          <t>FEF0014P_FRE9000</t>
        </is>
      </c>
      <c r="E4" s="11" t="n">
        <v>453602</v>
      </c>
      <c r="F4" s="11" t="n">
        <v>241377.759</v>
      </c>
      <c r="G4" s="11" t="n">
        <v>89014.0264</v>
      </c>
      <c r="H4" s="12" t="n">
        <v>123210.2146</v>
      </c>
      <c r="I4" s="11" t="n">
        <v>11295.9</v>
      </c>
      <c r="J4" s="12" t="n">
        <v>111914.3146</v>
      </c>
      <c r="K4" s="12" t="n">
        <v>0.246723591606739</v>
      </c>
      <c r="L4" s="2" t="inlineStr">
        <is>
          <t>Ventas netas - materia prima directa - costos de conversion = margen bruto; margen bruto - procesos de soporte = margen operativo</t>
        </is>
      </c>
      <c r="M4" s="2" t="inlineStr">
        <is>
          <t>Ventas + hoja de costos OT</t>
        </is>
      </c>
      <c r="N4" s="2" t="inlineStr">
        <is>
          <t>Estado de resultados generado por el sistema.</t>
        </is>
      </c>
    </row>
    <row r="5">
      <c r="A5" s="2" t="n">
        <v>72</v>
      </c>
      <c r="B5" s="2" t="inlineStr">
        <is>
          <t>OT003</t>
        </is>
      </c>
      <c r="C5" s="11" t="inlineStr">
        <is>
          <t>OC003</t>
        </is>
      </c>
      <c r="D5" s="2" t="inlineStr">
        <is>
          <t>FEF0011P_FRE9002</t>
        </is>
      </c>
      <c r="E5" s="11" t="n">
        <v>110649</v>
      </c>
      <c r="F5" s="11" t="n">
        <v>80286.91440000001</v>
      </c>
      <c r="G5" s="11" t="n">
        <v>5135.424599999999</v>
      </c>
      <c r="H5" s="12" t="n">
        <v>25226.66099999999</v>
      </c>
      <c r="I5" s="11" t="n">
        <v>4016.32</v>
      </c>
      <c r="J5" s="12" t="n">
        <v>21210.34099999999</v>
      </c>
      <c r="K5" s="12" t="n">
        <v>0.1916903089951106</v>
      </c>
      <c r="L5" s="2" t="inlineStr">
        <is>
          <t>Ventas netas - materia prima directa - costos de conversion = margen bruto; margen bruto - procesos de soporte = margen operativo</t>
        </is>
      </c>
      <c r="M5" s="2" t="inlineStr">
        <is>
          <t>Ventas + hoja de costos OT</t>
        </is>
      </c>
      <c r="N5" s="2" t="inlineStr">
        <is>
          <t>Estado de resultados generado por el sistema.</t>
        </is>
      </c>
    </row>
  </sheetData>
  <autoFilter ref="A1:N5"/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8" customWidth="1" min="3" max="3"/>
    <col width="18" customWidth="1" min="4" max="4"/>
    <col width="14" customWidth="1" min="5" max="5"/>
    <col width="25" customWidth="1" min="6" max="6"/>
    <col width="21" customWidth="1" min="7" max="7"/>
    <col width="20" customWidth="1" min="8" max="8"/>
    <col width="20" customWidth="1" min="9" max="9"/>
    <col width="44" customWidth="1" min="10" max="10"/>
    <col width="33" customWidth="1" min="11" max="11"/>
    <col width="44" customWidth="1" min="12" max="12"/>
  </cols>
  <sheetData>
    <row r="1">
      <c r="A1" s="14" t="inlineStr">
        <is>
          <t>Detalle completo - Costos por actividad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10" t="inlineStr">
        <is>
          <t>run_id</t>
        </is>
      </c>
      <c r="B2" s="10" t="inlineStr">
        <is>
          <t>actividad_id</t>
        </is>
      </c>
      <c r="C2" s="10" t="inlineStr">
        <is>
          <t>codigo_actividad</t>
        </is>
      </c>
      <c r="D2" s="10" t="inlineStr">
        <is>
          <t>nombre_actividad</t>
        </is>
      </c>
      <c r="E2" s="10" t="inlineStr">
        <is>
          <t>costo_mod_ac</t>
        </is>
      </c>
      <c r="F2" s="10" t="inlineStr">
        <is>
          <t>costo_otros_recursos_ac</t>
        </is>
      </c>
      <c r="G2" s="10" t="inlineStr">
        <is>
          <t>costo_conversion_ac</t>
        </is>
      </c>
      <c r="H2" s="10" t="inlineStr">
        <is>
          <t>costo_soporte_ac</t>
        </is>
      </c>
      <c r="I2" s="10" t="inlineStr">
        <is>
          <t>costo_total_ac</t>
        </is>
      </c>
      <c r="J2" s="10" t="inlineStr">
        <is>
          <t>formula</t>
        </is>
      </c>
      <c r="K2" s="10" t="inlineStr">
        <is>
          <t>fuente</t>
        </is>
      </c>
      <c r="L2" s="10" t="inlineStr">
        <is>
          <t>observacion</t>
        </is>
      </c>
    </row>
    <row r="3">
      <c r="A3" s="2" t="n">
        <v>72</v>
      </c>
      <c r="B3" s="2" t="inlineStr">
        <is>
          <t>AC001</t>
        </is>
      </c>
      <c r="C3" s="2" t="inlineStr">
        <is>
          <t>FO-1</t>
        </is>
      </c>
      <c r="D3" s="2" t="inlineStr">
        <is>
          <t>Impregnación</t>
        </is>
      </c>
      <c r="E3" s="11" t="n">
        <v>20709</v>
      </c>
      <c r="F3" s="11" t="n">
        <v>19699.58</v>
      </c>
      <c r="G3" s="11" t="n">
        <v>40408.58</v>
      </c>
      <c r="H3" s="11" t="n">
        <v>3866.72</v>
      </c>
      <c r="I3" s="11" t="n">
        <v>44275.3</v>
      </c>
      <c r="J3" s="2" t="inlineStr">
        <is>
          <t>costo_total_AC = PD_AC + otros_recursos_AC + soporte_AC</t>
        </is>
      </c>
      <c r="K3" s="2" t="inlineStr">
        <is>
          <t>Calculos PD, EC-AC y Soporte-AC</t>
        </is>
      </c>
      <c r="L3" s="2" t="inlineStr">
        <is>
          <t>Total por actividad generado por el sistema.</t>
        </is>
      </c>
    </row>
    <row r="4">
      <c r="A4" s="2" t="n">
        <v>72</v>
      </c>
      <c r="B4" s="2" t="inlineStr">
        <is>
          <t>AC002</t>
        </is>
      </c>
      <c r="C4" s="2" t="inlineStr">
        <is>
          <t>FO-2</t>
        </is>
      </c>
      <c r="D4" s="2" t="inlineStr">
        <is>
          <t>Enrollado</t>
        </is>
      </c>
      <c r="E4" s="11" t="n">
        <v>6372</v>
      </c>
      <c r="F4" s="11" t="n">
        <v>11494.72</v>
      </c>
      <c r="G4" s="11" t="n">
        <v>17866.72</v>
      </c>
      <c r="H4" s="11" t="n">
        <v>1299.04</v>
      </c>
      <c r="I4" s="11" t="n">
        <v>19165.76</v>
      </c>
      <c r="J4" s="2" t="inlineStr">
        <is>
          <t>costo_total_AC = PD_AC + otros_recursos_AC + soporte_AC</t>
        </is>
      </c>
      <c r="K4" s="2" t="inlineStr">
        <is>
          <t>Calculos PD, EC-AC y Soporte-AC</t>
        </is>
      </c>
      <c r="L4" s="2" t="inlineStr">
        <is>
          <t>Total por actividad generado por el sistema.</t>
        </is>
      </c>
    </row>
    <row r="5">
      <c r="A5" s="2" t="n">
        <v>72</v>
      </c>
      <c r="B5" s="2" t="inlineStr">
        <is>
          <t>AC003</t>
        </is>
      </c>
      <c r="C5" s="2" t="inlineStr">
        <is>
          <t>FO-3</t>
        </is>
      </c>
      <c r="D5" s="2" t="inlineStr">
        <is>
          <t>Prensado</t>
        </is>
      </c>
      <c r="E5" s="11" t="n">
        <v>13541</v>
      </c>
      <c r="F5" s="11" t="n">
        <v>15053.06</v>
      </c>
      <c r="G5" s="11" t="n">
        <v>28594.06</v>
      </c>
      <c r="H5" s="11" t="n">
        <v>6166.88</v>
      </c>
      <c r="I5" s="11" t="n">
        <v>34760.94</v>
      </c>
      <c r="J5" s="2" t="inlineStr">
        <is>
          <t>costo_total_AC = PD_AC + otros_recursos_AC + soporte_AC</t>
        </is>
      </c>
      <c r="K5" s="2" t="inlineStr">
        <is>
          <t>Calculos PD, EC-AC y Soporte-AC</t>
        </is>
      </c>
      <c r="L5" s="2" t="inlineStr">
        <is>
          <t>Total por actividad generado por el sistema.</t>
        </is>
      </c>
    </row>
    <row r="6">
      <c r="A6" s="2" t="n">
        <v>72</v>
      </c>
      <c r="B6" s="2" t="inlineStr">
        <is>
          <t>AC004</t>
        </is>
      </c>
      <c r="C6" s="2" t="inlineStr">
        <is>
          <t>FO-4</t>
        </is>
      </c>
      <c r="D6" s="2" t="inlineStr">
        <is>
          <t>Horneado</t>
        </is>
      </c>
      <c r="E6" s="11" t="n">
        <v>21506</v>
      </c>
      <c r="F6" s="11" t="n">
        <v>15844.38</v>
      </c>
      <c r="G6" s="11" t="n">
        <v>37350.38</v>
      </c>
      <c r="H6" s="11" t="n">
        <v>3582.08</v>
      </c>
      <c r="I6" s="11" t="n">
        <v>40932.46</v>
      </c>
      <c r="J6" s="2" t="inlineStr">
        <is>
          <t>costo_total_AC = PD_AC + otros_recursos_AC + soporte_AC</t>
        </is>
      </c>
      <c r="K6" s="2" t="inlineStr">
        <is>
          <t>Calculos PD, EC-AC y Soporte-AC</t>
        </is>
      </c>
      <c r="L6" s="2" t="inlineStr">
        <is>
          <t>Total por actividad generado por el sistema.</t>
        </is>
      </c>
    </row>
    <row r="7">
      <c r="A7" s="2" t="n">
        <v>72</v>
      </c>
      <c r="B7" s="2" t="inlineStr">
        <is>
          <t>AC005</t>
        </is>
      </c>
      <c r="C7" s="2" t="inlineStr">
        <is>
          <t>FO-5</t>
        </is>
      </c>
      <c r="D7" s="2" t="inlineStr">
        <is>
          <t>Lijado</t>
        </is>
      </c>
      <c r="E7" s="11" t="n">
        <v>3186</v>
      </c>
      <c r="F7" s="11" t="n">
        <v>11743.7</v>
      </c>
      <c r="G7" s="11" t="n">
        <v>14929.7</v>
      </c>
      <c r="H7" s="11" t="n">
        <v>6622.76</v>
      </c>
      <c r="I7" s="11" t="n">
        <v>21552.46</v>
      </c>
      <c r="J7" s="2" t="inlineStr">
        <is>
          <t>costo_total_AC = PD_AC + otros_recursos_AC + soporte_AC</t>
        </is>
      </c>
      <c r="K7" s="2" t="inlineStr">
        <is>
          <t>Calculos PD, EC-AC y Soporte-AC</t>
        </is>
      </c>
      <c r="L7" s="2" t="inlineStr">
        <is>
          <t>Total por actividad generado por el sistema.</t>
        </is>
      </c>
    </row>
    <row r="8">
      <c r="A8" s="2" t="n">
        <v>72</v>
      </c>
      <c r="B8" s="2" t="inlineStr">
        <is>
          <t>AC006</t>
        </is>
      </c>
      <c r="C8" s="2" t="inlineStr">
        <is>
          <t>FO-6</t>
        </is>
      </c>
      <c r="D8" s="2" t="inlineStr">
        <is>
          <t>Taladrado</t>
        </is>
      </c>
      <c r="E8" s="11" t="n">
        <v>7965</v>
      </c>
      <c r="F8" s="11" t="n">
        <v>9865.08</v>
      </c>
      <c r="G8" s="11" t="n">
        <v>17830.08</v>
      </c>
      <c r="H8" s="11" t="n">
        <v>2481.4</v>
      </c>
      <c r="I8" s="11" t="n">
        <v>20311.48</v>
      </c>
      <c r="J8" s="2" t="inlineStr">
        <is>
          <t>costo_total_AC = PD_AC + otros_recursos_AC + soporte_AC</t>
        </is>
      </c>
      <c r="K8" s="2" t="inlineStr">
        <is>
          <t>Calculos PD, EC-AC y Soporte-AC</t>
        </is>
      </c>
      <c r="L8" s="2" t="inlineStr">
        <is>
          <t>Total por actividad generado por el sistema.</t>
        </is>
      </c>
    </row>
    <row r="9">
      <c r="A9" s="2" t="n">
        <v>72</v>
      </c>
      <c r="B9" s="2" t="inlineStr">
        <is>
          <t>AC007</t>
        </is>
      </c>
      <c r="C9" s="2" t="inlineStr">
        <is>
          <t>FO-7</t>
        </is>
      </c>
      <c r="D9" s="2" t="inlineStr">
        <is>
          <t>Acabado</t>
        </is>
      </c>
      <c r="E9" s="11" t="n">
        <v>5576</v>
      </c>
      <c r="F9" s="11" t="n">
        <v>8625.299999999999</v>
      </c>
      <c r="G9" s="11" t="n">
        <v>14201.3</v>
      </c>
      <c r="H9" s="11" t="n">
        <v>1083.12</v>
      </c>
      <c r="I9" s="11" t="n">
        <v>15284.42</v>
      </c>
      <c r="J9" s="2" t="inlineStr">
        <is>
          <t>costo_total_AC = PD_AC + otros_recursos_AC + soporte_AC</t>
        </is>
      </c>
      <c r="K9" s="2" t="inlineStr">
        <is>
          <t>Calculos PD, EC-AC y Soporte-AC</t>
        </is>
      </c>
      <c r="L9" s="2" t="inlineStr">
        <is>
          <t>Total por actividad generado por el sistema.</t>
        </is>
      </c>
    </row>
  </sheetData>
  <autoFilter ref="A1:L9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20" customWidth="1" min="2" max="2"/>
    <col width="18" customWidth="1" min="3" max="3"/>
    <col width="12" customWidth="1" min="4" max="4"/>
    <col width="20" customWidth="1" min="5" max="5"/>
    <col width="22" customWidth="1" min="6" max="6"/>
    <col width="29" customWidth="1" min="7" max="7"/>
    <col width="44" customWidth="1" min="8" max="8"/>
  </cols>
  <sheetData>
    <row r="1">
      <c r="A1" s="14" t="inlineStr">
        <is>
          <t>Participacion por componente de costo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0" t="inlineStr">
        <is>
          <t>ot_id</t>
        </is>
      </c>
      <c r="B2" s="10" t="inlineStr">
        <is>
          <t>codigo_ot</t>
        </is>
      </c>
      <c r="C2" s="10" t="inlineStr">
        <is>
          <t>codigo_producto</t>
        </is>
      </c>
      <c r="D2" s="10" t="inlineStr">
        <is>
          <t>componente</t>
        </is>
      </c>
      <c r="E2" s="10" t="inlineStr">
        <is>
          <t>importe_soles</t>
        </is>
      </c>
      <c r="F2" s="10" t="inlineStr">
        <is>
          <t>participacion</t>
        </is>
      </c>
      <c r="G2" s="10" t="inlineStr">
        <is>
          <t>formula</t>
        </is>
      </c>
      <c r="H2" s="10" t="inlineStr">
        <is>
          <t>observacion</t>
        </is>
      </c>
    </row>
    <row r="3">
      <c r="A3" s="2" t="inlineStr">
        <is>
          <t>OT001</t>
        </is>
      </c>
      <c r="B3" s="2" t="inlineStr">
        <is>
          <t>OT-FRENOSA-SW50</t>
        </is>
      </c>
      <c r="C3" s="2" t="inlineStr">
        <is>
          <t>FEF0014P_SW50</t>
        </is>
      </c>
      <c r="D3" s="2" t="inlineStr">
        <is>
          <t>CMD</t>
        </is>
      </c>
      <c r="E3" s="11" t="n">
        <v>122328.583</v>
      </c>
      <c r="F3" s="2" t="n">
        <v>0.5848852008091505</v>
      </c>
      <c r="G3" s="2" t="inlineStr">
        <is>
          <t>CMD / costo_total_ot</t>
        </is>
      </c>
      <c r="H3" s="2" t="inlineStr">
        <is>
          <t>Componente del dashboard de estructura de costos por OT.</t>
        </is>
      </c>
    </row>
    <row r="4">
      <c r="A4" s="2" t="inlineStr">
        <is>
          <t>OT001</t>
        </is>
      </c>
      <c r="B4" s="2" t="inlineStr">
        <is>
          <t>OT-FRENOSA-SW50</t>
        </is>
      </c>
      <c r="C4" s="2" t="inlineStr">
        <is>
          <t>FEF0014P_SW50</t>
        </is>
      </c>
      <c r="D4" s="2" t="inlineStr">
        <is>
          <t>Produccion</t>
        </is>
      </c>
      <c r="E4" s="11" t="n">
        <v>77031.36900000001</v>
      </c>
      <c r="F4" s="2" t="n">
        <v>0.3683072804511172</v>
      </c>
      <c r="G4" s="2" t="inlineStr">
        <is>
          <t>Produccion / costo_total_ot</t>
        </is>
      </c>
      <c r="H4" s="2" t="inlineStr">
        <is>
          <t>Componente del dashboard de estructura de costos por OT.</t>
        </is>
      </c>
    </row>
    <row r="5">
      <c r="A5" s="2" t="inlineStr">
        <is>
          <t>OT001</t>
        </is>
      </c>
      <c r="B5" s="2" t="inlineStr">
        <is>
          <t>OT-FRENOSA-SW50</t>
        </is>
      </c>
      <c r="C5" s="2" t="inlineStr">
        <is>
          <t>FEF0014P_SW50</t>
        </is>
      </c>
      <c r="D5" s="2" t="inlineStr">
        <is>
          <t>Soporte</t>
        </is>
      </c>
      <c r="E5" s="11" t="n">
        <v>9789.780000000001</v>
      </c>
      <c r="F5" s="2" t="n">
        <v>0.04680751873973236</v>
      </c>
      <c r="G5" s="2" t="inlineStr">
        <is>
          <t>Soporte / costo_total_ot</t>
        </is>
      </c>
      <c r="H5" s="2" t="inlineStr">
        <is>
          <t>Componente del dashboard de estructura de costos por OT.</t>
        </is>
      </c>
    </row>
    <row r="6">
      <c r="A6" s="2" t="inlineStr">
        <is>
          <t>OT001</t>
        </is>
      </c>
      <c r="B6" s="2" t="inlineStr">
        <is>
          <t>OT-FRENOSA-SW50</t>
        </is>
      </c>
      <c r="C6" s="2" t="inlineStr">
        <is>
          <t>FEF0014P_SW50</t>
        </is>
      </c>
      <c r="D6" s="2" t="inlineStr">
        <is>
          <t>CSD</t>
        </is>
      </c>
      <c r="E6" s="11" t="n">
        <v>0</v>
      </c>
      <c r="F6" s="2" t="n">
        <v>0</v>
      </c>
      <c r="G6" s="2" t="inlineStr">
        <is>
          <t>CSD / costo_total_ot</t>
        </is>
      </c>
      <c r="H6" s="2" t="inlineStr">
        <is>
          <t>Componente del dashboard de estructura de costos por OT.</t>
        </is>
      </c>
    </row>
    <row r="7">
      <c r="A7" s="2" t="inlineStr">
        <is>
          <t>OT002</t>
        </is>
      </c>
      <c r="B7" s="2" t="inlineStr">
        <is>
          <t>OT-FRENOSA-FRE9000</t>
        </is>
      </c>
      <c r="C7" s="2" t="inlineStr">
        <is>
          <t>FEF0014P_FRE9000</t>
        </is>
      </c>
      <c r="D7" s="2" t="inlineStr">
        <is>
          <t>CMD</t>
        </is>
      </c>
      <c r="E7" s="11" t="n">
        <v>241377.759</v>
      </c>
      <c r="F7" s="2" t="n">
        <v>0.7064280315441535</v>
      </c>
      <c r="G7" s="2" t="inlineStr">
        <is>
          <t>CMD / costo_total_ot</t>
        </is>
      </c>
      <c r="H7" s="2" t="inlineStr">
        <is>
          <t>Componente del dashboard de estructura de costos por OT.</t>
        </is>
      </c>
    </row>
    <row r="8">
      <c r="A8" s="2" t="inlineStr">
        <is>
          <t>OT002</t>
        </is>
      </c>
      <c r="B8" s="2" t="inlineStr">
        <is>
          <t>OT-FRENOSA-FRE9000</t>
        </is>
      </c>
      <c r="C8" s="2" t="inlineStr">
        <is>
          <t>FEF0014P_FRE9000</t>
        </is>
      </c>
      <c r="D8" s="2" t="inlineStr">
        <is>
          <t>Produccion</t>
        </is>
      </c>
      <c r="E8" s="11" t="n">
        <v>89014.0264</v>
      </c>
      <c r="F8" s="2" t="n">
        <v>0.2605128314641919</v>
      </c>
      <c r="G8" s="2" t="inlineStr">
        <is>
          <t>Produccion / costo_total_ot</t>
        </is>
      </c>
      <c r="H8" s="2" t="inlineStr">
        <is>
          <t>Componente del dashboard de estructura de costos por OT.</t>
        </is>
      </c>
    </row>
    <row r="9">
      <c r="A9" s="2" t="inlineStr">
        <is>
          <t>OT002</t>
        </is>
      </c>
      <c r="B9" s="2" t="inlineStr">
        <is>
          <t>OT-FRENOSA-FRE9000</t>
        </is>
      </c>
      <c r="C9" s="2" t="inlineStr">
        <is>
          <t>FEF0014P_FRE9000</t>
        </is>
      </c>
      <c r="D9" s="2" t="inlineStr">
        <is>
          <t>Soporte</t>
        </is>
      </c>
      <c r="E9" s="11" t="n">
        <v>11295.9</v>
      </c>
      <c r="F9" s="2" t="n">
        <v>0.03305913699165466</v>
      </c>
      <c r="G9" s="2" t="inlineStr">
        <is>
          <t>Soporte / costo_total_ot</t>
        </is>
      </c>
      <c r="H9" s="2" t="inlineStr">
        <is>
          <t>Componente del dashboard de estructura de costos por OT.</t>
        </is>
      </c>
    </row>
    <row r="10">
      <c r="A10" s="2" t="inlineStr">
        <is>
          <t>OT002</t>
        </is>
      </c>
      <c r="B10" s="2" t="inlineStr">
        <is>
          <t>OT-FRENOSA-FRE9000</t>
        </is>
      </c>
      <c r="C10" s="2" t="inlineStr">
        <is>
          <t>FEF0014P_FRE9000</t>
        </is>
      </c>
      <c r="D10" s="2" t="inlineStr">
        <is>
          <t>CSD</t>
        </is>
      </c>
      <c r="E10" s="11" t="n">
        <v>0</v>
      </c>
      <c r="F10" s="2" t="n">
        <v>0</v>
      </c>
      <c r="G10" s="2" t="inlineStr">
        <is>
          <t>CSD / costo_total_ot</t>
        </is>
      </c>
      <c r="H10" s="2" t="inlineStr">
        <is>
          <t>Componente del dashboard de estructura de costos por OT.</t>
        </is>
      </c>
    </row>
    <row r="11">
      <c r="A11" s="2" t="inlineStr">
        <is>
          <t>OT003</t>
        </is>
      </c>
      <c r="B11" s="2" t="inlineStr">
        <is>
          <t>OT-FRENOSA-FRE9002</t>
        </is>
      </c>
      <c r="C11" s="2" t="inlineStr">
        <is>
          <t>FEF0011P_FRE9002</t>
        </is>
      </c>
      <c r="D11" s="2" t="inlineStr">
        <is>
          <t>CMD</t>
        </is>
      </c>
      <c r="E11" s="11" t="n">
        <v>80286.91440000001</v>
      </c>
      <c r="F11" s="2" t="n">
        <v>0.8976757399728007</v>
      </c>
      <c r="G11" s="2" t="inlineStr">
        <is>
          <t>CMD / costo_total_ot</t>
        </is>
      </c>
      <c r="H11" s="2" t="inlineStr">
        <is>
          <t>Componente del dashboard de estructura de costos por OT.</t>
        </is>
      </c>
    </row>
    <row r="12">
      <c r="A12" s="2" t="inlineStr">
        <is>
          <t>OT003</t>
        </is>
      </c>
      <c r="B12" s="2" t="inlineStr">
        <is>
          <t>OT-FRENOSA-FRE9002</t>
        </is>
      </c>
      <c r="C12" s="2" t="inlineStr">
        <is>
          <t>FEF0011P_FRE9002</t>
        </is>
      </c>
      <c r="D12" s="2" t="inlineStr">
        <is>
          <t>Produccion</t>
        </is>
      </c>
      <c r="E12" s="11" t="n">
        <v>5135.424599999999</v>
      </c>
      <c r="F12" s="2" t="n">
        <v>0.05741839890510879</v>
      </c>
      <c r="G12" s="2" t="inlineStr">
        <is>
          <t>Produccion / costo_total_ot</t>
        </is>
      </c>
      <c r="H12" s="2" t="inlineStr">
        <is>
          <t>Componente del dashboard de estructura de costos por OT.</t>
        </is>
      </c>
    </row>
    <row r="13">
      <c r="A13" s="2" t="inlineStr">
        <is>
          <t>OT003</t>
        </is>
      </c>
      <c r="B13" s="2" t="inlineStr">
        <is>
          <t>OT-FRENOSA-FRE9002</t>
        </is>
      </c>
      <c r="C13" s="2" t="inlineStr">
        <is>
          <t>FEF0011P_FRE9002</t>
        </is>
      </c>
      <c r="D13" s="2" t="inlineStr">
        <is>
          <t>Soporte</t>
        </is>
      </c>
      <c r="E13" s="11" t="n">
        <v>4016.32</v>
      </c>
      <c r="F13" s="2" t="n">
        <v>0.04490586112209038</v>
      </c>
      <c r="G13" s="2" t="inlineStr">
        <is>
          <t>Soporte / costo_total_ot</t>
        </is>
      </c>
      <c r="H13" s="2" t="inlineStr">
        <is>
          <t>Componente del dashboard de estructura de costos por OT.</t>
        </is>
      </c>
    </row>
    <row r="14">
      <c r="A14" s="2" t="inlineStr">
        <is>
          <t>OT003</t>
        </is>
      </c>
      <c r="B14" s="2" t="inlineStr">
        <is>
          <t>OT-FRENOSA-FRE9002</t>
        </is>
      </c>
      <c r="C14" s="2" t="inlineStr">
        <is>
          <t>FEF0011P_FRE9002</t>
        </is>
      </c>
      <c r="D14" s="2" t="inlineStr">
        <is>
          <t>CSD</t>
        </is>
      </c>
      <c r="E14" s="11" t="n">
        <v>0</v>
      </c>
      <c r="F14" s="2" t="n">
        <v>0</v>
      </c>
      <c r="G14" s="2" t="inlineStr">
        <is>
          <t>CSD / costo_total_ot</t>
        </is>
      </c>
      <c r="H14" s="2" t="inlineStr">
        <is>
          <t>Componente del dashboard de estructura de costos por OT.</t>
        </is>
      </c>
    </row>
  </sheetData>
  <autoFilter ref="A1:H14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1" customWidth="1" min="2" max="2"/>
    <col width="21" customWidth="1" min="3" max="3"/>
    <col width="11" customWidth="1" min="4" max="4"/>
    <col width="44" customWidth="1" min="5" max="5"/>
    <col width="20" customWidth="1" min="6" max="6"/>
    <col width="44" customWidth="1" min="7" max="7"/>
  </cols>
  <sheetData>
    <row r="1">
      <c r="A1" s="14" t="inlineStr">
        <is>
          <t>Alertas generadas por el dashboard</t>
        </is>
      </c>
      <c r="B1" s="2" t="n"/>
      <c r="C1" s="2" t="n"/>
      <c r="D1" s="2" t="n"/>
      <c r="E1" s="2" t="n"/>
      <c r="F1" s="2" t="n"/>
      <c r="G1" s="2" t="n"/>
    </row>
    <row r="2">
      <c r="A2" s="10" t="inlineStr">
        <is>
          <t>run_id</t>
        </is>
      </c>
      <c r="B2" s="10" t="inlineStr">
        <is>
          <t>alerta_id</t>
        </is>
      </c>
      <c r="C2" s="10" t="inlineStr">
        <is>
          <t>tipo</t>
        </is>
      </c>
      <c r="D2" s="10" t="inlineStr">
        <is>
          <t>severidad</t>
        </is>
      </c>
      <c r="E2" s="10" t="inlineStr">
        <is>
          <t>mensaje</t>
        </is>
      </c>
      <c r="F2" s="10" t="inlineStr">
        <is>
          <t>valor_referencia</t>
        </is>
      </c>
      <c r="G2" s="10" t="inlineStr">
        <is>
          <t>observacion</t>
        </is>
      </c>
    </row>
    <row r="3">
      <c r="A3" s="2" t="n">
        <v>72</v>
      </c>
      <c r="B3" s="2" t="n">
        <v>143</v>
      </c>
      <c r="C3" s="2" t="inlineStr">
        <is>
          <t>Actividad relevante</t>
        </is>
      </c>
      <c r="D3" s="2" t="inlineStr">
        <is>
          <t>Media</t>
        </is>
      </c>
      <c r="E3" s="2" t="inlineStr">
        <is>
          <t>La actividad con mayor costo total es Impregnación.</t>
        </is>
      </c>
      <c r="F3" s="2" t="n">
        <v>44275.3</v>
      </c>
      <c r="G3" s="2" t="inlineStr">
        <is>
          <t>Revisar consumo de MOD, otros recursos y soporte.</t>
        </is>
      </c>
    </row>
    <row r="4">
      <c r="A4" s="2" t="n">
        <v>72</v>
      </c>
      <c r="B4" s="2" t="n">
        <v>144</v>
      </c>
      <c r="C4" s="2" t="inlineStr">
        <is>
          <t>Rentabilidad</t>
        </is>
      </c>
      <c r="D4" s="2" t="inlineStr">
        <is>
          <t>Alta</t>
        </is>
      </c>
      <c r="E4" s="2" t="inlineStr">
        <is>
          <t>El objeto de costo con menor rentabilidad operativa es FEF0011P_FRE9002.</t>
        </is>
      </c>
      <c r="F4" s="2" t="n">
        <v>0.1916903089951106</v>
      </c>
      <c r="G4" s="2" t="inlineStr">
        <is>
          <t>Evaluar precio, mezcla de costos y actividades de mayor peso.</t>
        </is>
      </c>
    </row>
  </sheetData>
  <autoFilter ref="A1:G4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44" customWidth="1" min="2" max="2"/>
    <col width="44" customWidth="1" min="3" max="3"/>
    <col width="44" customWidth="1" min="4" max="4"/>
    <col width="44" customWidth="1" min="5" max="5"/>
  </cols>
  <sheetData>
    <row r="1">
      <c r="A1" s="14" t="inlineStr">
        <is>
          <t>Recomendaciones derivadas del dashboard</t>
        </is>
      </c>
      <c r="B1" s="2" t="n"/>
      <c r="C1" s="2" t="n"/>
      <c r="D1" s="2" t="n"/>
      <c r="E1" s="2" t="n"/>
    </row>
    <row r="2">
      <c r="A2" s="10" t="inlineStr">
        <is>
          <t>prioridad</t>
        </is>
      </c>
      <c r="B2" s="10" t="inlineStr">
        <is>
          <t>recomendacion</t>
        </is>
      </c>
      <c r="C2" s="10" t="inlineStr">
        <is>
          <t>sustento</t>
        </is>
      </c>
      <c r="D2" s="10" t="inlineStr">
        <is>
          <t>impacto_esperado</t>
        </is>
      </c>
      <c r="E2" s="10" t="inlineStr">
        <is>
          <t>accion</t>
        </is>
      </c>
    </row>
    <row r="3">
      <c r="A3" s="2" t="inlineStr">
        <is>
          <t>Alta</t>
        </is>
      </c>
      <c r="B3" s="2" t="inlineStr">
        <is>
          <t>Revisar actividad Impregnación</t>
        </is>
      </c>
      <c r="C3" s="2" t="inlineStr">
        <is>
          <t>Concentra 22.56% del costo total de actividades.</t>
        </is>
      </c>
      <c r="D3" s="2" t="inlineStr">
        <is>
          <t>Reduccion de costos de conversion y soporte.</t>
        </is>
      </c>
      <c r="E3" s="2" t="inlineStr">
        <is>
          <t>Validar tiempos, recursos consumidos e inductores EC-AC.</t>
        </is>
      </c>
    </row>
    <row r="4">
      <c r="A4" s="2" t="inlineStr">
        <is>
          <t>Alta</t>
        </is>
      </c>
      <c r="B4" s="2" t="inlineStr">
        <is>
          <t>Analizar rentabilidad de FEF0011P_FRE9002</t>
        </is>
      </c>
      <c r="C4" s="2" t="inlineStr">
        <is>
          <t>Menor rentabilidad operativa: 19.17%.</t>
        </is>
      </c>
      <c r="D4" s="2" t="inlineStr">
        <is>
          <t>Mejor decision comercial y de mezcla de productos.</t>
        </is>
      </c>
      <c r="E4" s="2" t="inlineStr">
        <is>
          <t>Revisar precio, consumo de actividades y margen operativo.</t>
        </is>
      </c>
    </row>
    <row r="5">
      <c r="A5" s="2" t="inlineStr">
        <is>
          <t>Media</t>
        </is>
      </c>
      <c r="B5" s="2" t="inlineStr">
        <is>
          <t>Evaluar estructura de costo de FEF0014P_FRE9000</t>
        </is>
      </c>
      <c r="C5" s="2" t="inlineStr">
        <is>
          <t>Componente dominante: CMD (70.64% del total).</t>
        </is>
      </c>
      <c r="D5" s="2" t="inlineStr">
        <is>
          <t>Mejor control del componente mas relevante del costo.</t>
        </is>
      </c>
      <c r="E5" s="2" t="inlineStr">
        <is>
          <t>Contrastar costo directo, conversion y soporte con fuentes importadas.</t>
        </is>
      </c>
    </row>
    <row r="6">
      <c r="A6" s="2" t="inlineStr">
        <is>
          <t>Baja</t>
        </is>
      </c>
      <c r="B6" s="2" t="inlineStr">
        <is>
          <t>Mantener CSD documentado en cero</t>
        </is>
      </c>
      <c r="C6" s="2" t="inlineStr">
        <is>
          <t>El Excel maestro no registra servicios directos publicados.</t>
        </is>
      </c>
      <c r="D6" s="2" t="inlineStr">
        <is>
          <t>Evitar supuestos no sustentados en la monografia.</t>
        </is>
      </c>
      <c r="E6" s="2" t="inlineStr">
        <is>
          <t>Actualizar solo si existe fuente real de servicios directos.</t>
        </is>
      </c>
    </row>
  </sheetData>
  <autoFilter ref="A1:E6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39" customWidth="1" min="2" max="2"/>
    <col width="22" customWidth="1" min="3" max="3"/>
    <col width="36" customWidth="1" min="4" max="4"/>
  </cols>
  <sheetData>
    <row r="1">
      <c r="A1" s="14" t="inlineStr">
        <is>
          <t>Formulas y criterios usados en el dashboard</t>
        </is>
      </c>
      <c r="B1" s="2" t="n"/>
      <c r="C1" s="2" t="n"/>
      <c r="D1" s="2" t="n"/>
    </row>
    <row r="2">
      <c r="A2" s="10" t="inlineStr">
        <is>
          <t>modulo</t>
        </is>
      </c>
      <c r="B2" s="10" t="inlineStr">
        <is>
          <t>formula</t>
        </is>
      </c>
      <c r="C2" s="10" t="inlineStr">
        <is>
          <t>fuente</t>
        </is>
      </c>
      <c r="D2" s="10" t="inlineStr">
        <is>
          <t>observacion</t>
        </is>
      </c>
    </row>
    <row r="3">
      <c r="A3" s="2" t="inlineStr">
        <is>
          <t>KPI Costo total</t>
        </is>
      </c>
      <c r="B3" s="2" t="inlineStr">
        <is>
          <t>SUM(costo_total_ot)</t>
        </is>
      </c>
      <c r="C3" s="2" t="inlineStr">
        <is>
          <t>hoja_costos_ot</t>
        </is>
      </c>
      <c r="D3" s="2" t="inlineStr">
        <is>
          <t>Tarjeta Costo total OT.</t>
        </is>
      </c>
    </row>
    <row r="4">
      <c r="A4" s="2" t="inlineStr">
        <is>
          <t>KPI Costo unitario promedio</t>
        </is>
      </c>
      <c r="B4" s="2" t="inlineStr">
        <is>
          <t>AVERAGE(costo_unitario_ot)</t>
        </is>
      </c>
      <c r="C4" s="2" t="inlineStr">
        <is>
          <t>hoja_costos_ot</t>
        </is>
      </c>
      <c r="D4" s="2" t="inlineStr">
        <is>
          <t>Tarjeta Costo unitario prom.</t>
        </is>
      </c>
    </row>
    <row r="5">
      <c r="A5" s="2" t="inlineStr">
        <is>
          <t>KPI Ventas netas</t>
        </is>
      </c>
      <c r="B5" s="2" t="inlineStr">
        <is>
          <t>SUM(ventas_netas_soles)</t>
        </is>
      </c>
      <c r="C5" s="2" t="inlineStr">
        <is>
          <t>estado_resultados_ot</t>
        </is>
      </c>
      <c r="D5" s="2" t="inlineStr">
        <is>
          <t>Tarjeta Ventas netas.</t>
        </is>
      </c>
    </row>
    <row r="6">
      <c r="A6" s="2" t="inlineStr">
        <is>
          <t>KPI Rentabilidad promedio</t>
        </is>
      </c>
      <c r="B6" s="2" t="inlineStr">
        <is>
          <t>AVERAGE(rentabilidad_operativa)</t>
        </is>
      </c>
      <c r="C6" s="2" t="inlineStr">
        <is>
          <t>estado_resultados_ot</t>
        </is>
      </c>
      <c r="D6" s="2" t="inlineStr">
        <is>
          <t>Tarjeta Rentabilidad prom.</t>
        </is>
      </c>
    </row>
    <row r="7">
      <c r="A7" s="2" t="inlineStr">
        <is>
          <t>Costo total por OT</t>
        </is>
      </c>
      <c r="B7" s="2" t="inlineStr">
        <is>
          <t>CMD + produccion + soporte + CSD</t>
        </is>
      </c>
      <c r="C7" s="2" t="inlineStr">
        <is>
          <t>hoja_costos_ot</t>
        </is>
      </c>
      <c r="D7" s="2" t="inlineStr">
        <is>
          <t>Grafico de barras del dashboard.</t>
        </is>
      </c>
    </row>
    <row r="8">
      <c r="A8" s="2" t="inlineStr">
        <is>
          <t>Estructura de costo</t>
        </is>
      </c>
      <c r="B8" s="2" t="inlineStr">
        <is>
          <t>componente / costo_total_ot</t>
        </is>
      </c>
      <c r="C8" s="2" t="inlineStr">
        <is>
          <t>hoja_costos_ot</t>
        </is>
      </c>
      <c r="D8" s="2" t="inlineStr">
        <is>
          <t>Grafico apilado por OT.</t>
        </is>
      </c>
    </row>
    <row r="9">
      <c r="A9" s="2" t="inlineStr">
        <is>
          <t>Ranking de actividades</t>
        </is>
      </c>
      <c r="B9" s="2" t="inlineStr">
        <is>
          <t>ORDER BY costo_total_ac DESC</t>
        </is>
      </c>
      <c r="C9" s="2" t="inlineStr">
        <is>
          <t>actividad_total</t>
        </is>
      </c>
      <c r="D9" s="2" t="inlineStr">
        <is>
          <t>Grafico horizontal de actividades.</t>
        </is>
      </c>
    </row>
    <row r="10">
      <c r="A10" s="2" t="inlineStr">
        <is>
          <t>Rentabilidad</t>
        </is>
      </c>
      <c r="B10" s="2" t="inlineStr">
        <is>
          <t>margen_operativo / ventas_netas_soles</t>
        </is>
      </c>
      <c r="C10" s="2" t="inlineStr">
        <is>
          <t>estado_resultados_ot</t>
        </is>
      </c>
      <c r="D10" s="2" t="inlineStr">
        <is>
          <t>Grafico de rentabilidad por OT.</t>
        </is>
      </c>
    </row>
  </sheetData>
  <autoFilter ref="A1:D10"/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14" customWidth="1" min="4" max="4"/>
    <col width="12" customWidth="1" min="5" max="5"/>
  </cols>
  <sheetData>
    <row r="1">
      <c r="A1" s="14" t="inlineStr">
        <is>
          <t>Periodo del dashboard</t>
        </is>
      </c>
      <c r="B1" s="2" t="n"/>
      <c r="C1" s="2" t="n"/>
      <c r="D1" s="2" t="n"/>
      <c r="E1" s="2" t="n"/>
    </row>
    <row r="2">
      <c r="A2" s="10" t="inlineStr">
        <is>
          <t>periodo_id</t>
        </is>
      </c>
      <c r="B2" s="10" t="inlineStr">
        <is>
          <t>periodo</t>
        </is>
      </c>
      <c r="C2" s="10" t="inlineStr">
        <is>
          <t>tipo_periodo</t>
        </is>
      </c>
      <c r="D2" s="10" t="inlineStr">
        <is>
          <t>fecha_inicio</t>
        </is>
      </c>
      <c r="E2" s="10" t="inlineStr">
        <is>
          <t>fecha_fin</t>
        </is>
      </c>
    </row>
    <row r="3">
      <c r="A3" s="2" t="inlineStr">
        <is>
          <t>PER001</t>
        </is>
      </c>
      <c r="B3" s="2" t="inlineStr">
        <is>
          <t>Julio 2010</t>
        </is>
      </c>
      <c r="C3" s="2" t="inlineStr">
        <is>
          <t>Mensual</t>
        </is>
      </c>
      <c r="D3" s="2" t="inlineStr">
        <is>
          <t>2010-07-01</t>
        </is>
      </c>
      <c r="E3" s="2" t="inlineStr">
        <is>
          <t>2010-07-31</t>
        </is>
      </c>
    </row>
  </sheetData>
  <autoFilter ref="A1:E3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2026-06-24T15:59:55Z</dcterms:created>
  <dcterms:modified xmlns:dcterms="http://purl.org/dc/terms/" xmlns:xsi="http://www.w3.org/2001/XMLSchema-instance" xsi:type="dcterms:W3CDTF">2026-06-24T15:59:56Z</dcterms:modified>
</cp:coreProperties>
</file>